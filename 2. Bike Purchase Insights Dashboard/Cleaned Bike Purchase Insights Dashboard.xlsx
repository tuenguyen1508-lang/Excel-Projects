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NGOCNT\Downloads\"/>
    </mc:Choice>
  </mc:AlternateContent>
  <xr:revisionPtr revIDLastSave="0" documentId="8_{1BD8814E-0E69-4627-AF44-4C25C5432F8A}"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Working Sheet" sheetId="2" r:id="rId2"/>
    <sheet name="Pivot Table" sheetId="3" r:id="rId3"/>
    <sheet name="Dashboard" sheetId="4"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17"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<sst xmlns="http://schemas.openxmlformats.org/spreadsheetml/2006/main" count="16266" uniqueCount="51">
  <si>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</si>
  <si>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</si>
  <si>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</si>
  <si>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</si>
  <si>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</si>
  <si>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</si>
  <si>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</si>
  <si>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</si>
  <si>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</si>
  <si>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</si>
  <si>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</si>
  <si>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</si>
  <si>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</si>
  <si>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</si>
  <si>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</si>
  <si>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</si>
  <si>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</si>
  <si>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</si>
  <si>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</si>
  <si>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</si>
  <si>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</si>
  <si>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</si>
  <si>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</si>
  <si>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</si>
  <si>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</si>
  <si>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</si>
  <si>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</si>
  <si>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</si>
  <si>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</si>
  <si>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</si>
  <si>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</si>
  <si>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</si>
  <si>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</si>
  <si>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</si>
  <si>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</si>
  <si>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</si>
  <si>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</si>
  <si>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</si>
  <si>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</si>
  <si>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</si>
  <si>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</si>
  <si>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Average of Income</t>
  </si>
  <si>
    <t>Row Labels</t>
  </si>
  <si>
    <t>Grand Total</t>
  </si>
  <si>
    <t>Column Labels</t>
  </si>
  <si>
    <t>Count of Purchased Bike</t>
  </si>
  <si>
    <t>More than 10 Miles</t>
  </si>
  <si>
    <t>Middle Age</t>
  </si>
  <si>
    <t>Old</t>
  </si>
  <si>
    <t>Bike Sales Dashboard</t>
  </si>
  <si>
    <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</si>
</sst>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6" formatCode="&quot;$&quot;#,##0"/>
    <numFmt numFmtId="171" formatCode="_(* #,##0_);_(* \(#,##0\);_(* &quot;-&quot;??_);_(@_)"/>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30"/>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71" fontId="0" fillId="0" borderId="0" xfId="0" applyNumberFormat="1"/>
    <xf numFmtId="0" fontId="19" fillId="33" borderId="0" xfId="0" applyFont="1" applyFill="1" applyAlignment="1">
      <alignment horizontal="center" vertical="center"/>
    </xf>
    <xf numFmtId="0" fontId="19" fillId="34"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9">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
      <numFmt numFmtId="171"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22500</c:v>
                </c:pt>
              </c:numCache>
            </c:numRef>
          </c:val>
          <c:extLst>
            <c:ext xmlns:c16="http://schemas.microsoft.com/office/drawing/2014/chart" uri="{C3380CC4-5D6E-409C-BE32-E72D297353CC}">
              <c16:uniqueId val="{00000000-7CE8-4999-91A7-6F84759C1A54}"/>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3-7CE8-4999-91A7-6F84759C1A54}"/>
            </c:ext>
          </c:extLst>
        </c:ser>
        <c:dLbls>
          <c:showLegendKey val="0"/>
          <c:showVal val="0"/>
          <c:showCatName val="0"/>
          <c:showSerName val="0"/>
          <c:showPercent val="0"/>
          <c:showBubbleSize val="0"/>
        </c:dLbls>
        <c:gapWidth val="219"/>
        <c:overlap val="-27"/>
        <c:axId val="1847048352"/>
        <c:axId val="1847047392"/>
      </c:barChart>
      <c:catAx>
        <c:axId val="184704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47392"/>
        <c:crosses val="autoZero"/>
        <c:auto val="1"/>
        <c:lblAlgn val="ctr"/>
        <c:lblOffset val="100"/>
        <c:noMultiLvlLbl val="0"/>
      </c:catAx>
      <c:valAx>
        <c:axId val="184704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4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28575" cap="rnd">
              <a:solidFill>
                <a:schemeClr val="accent1"/>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89EC-4ACD-8B89-C425F62944A8}"/>
            </c:ext>
          </c:extLst>
        </c:ser>
        <c:ser>
          <c:idx val="1"/>
          <c:order val="1"/>
          <c:tx>
            <c:strRef>
              <c:f>'Pivot Table'!$C$24:$C$25</c:f>
              <c:strCache>
                <c:ptCount val="1"/>
                <c:pt idx="0">
                  <c:v>Yes</c:v>
                </c:pt>
              </c:strCache>
            </c:strRef>
          </c:tx>
          <c:spPr>
            <a:ln w="28575" cap="rnd">
              <a:solidFill>
                <a:schemeClr val="accent2"/>
              </a:solidFill>
              <a:round/>
            </a:ln>
            <a:effectLst/>
          </c:spPr>
          <c:marker>
            <c:symbol val="none"/>
          </c:marker>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89EC-4ACD-8B89-C425F62944A8}"/>
            </c:ext>
          </c:extLst>
        </c:ser>
        <c:dLbls>
          <c:showLegendKey val="0"/>
          <c:showVal val="0"/>
          <c:showCatName val="0"/>
          <c:showSerName val="0"/>
          <c:showPercent val="0"/>
          <c:showBubbleSize val="0"/>
        </c:dLbls>
        <c:smooth val="0"/>
        <c:axId val="1647180784"/>
        <c:axId val="1647178384"/>
      </c:lineChart>
      <c:catAx>
        <c:axId val="1647180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78384"/>
        <c:crosses val="autoZero"/>
        <c:auto val="1"/>
        <c:lblAlgn val="ctr"/>
        <c:lblOffset val="100"/>
        <c:noMultiLvlLbl val="0"/>
      </c:catAx>
      <c:valAx>
        <c:axId val="1647178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71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4</c:v>
                </c:pt>
                <c:pt idx="1">
                  <c:v>3</c:v>
                </c:pt>
              </c:numCache>
            </c:numRef>
          </c:val>
          <c:smooth val="0"/>
          <c:extLst>
            <c:ext xmlns:c16="http://schemas.microsoft.com/office/drawing/2014/chart" uri="{C3380CC4-5D6E-409C-BE32-E72D297353CC}">
              <c16:uniqueId val="{00000000-3C68-4E44-99EC-C19942DA2919}"/>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12</c:v>
                </c:pt>
                <c:pt idx="1">
                  <c:v>1</c:v>
                </c:pt>
              </c:numCache>
            </c:numRef>
          </c:val>
          <c:smooth val="0"/>
          <c:extLst>
            <c:ext xmlns:c16="http://schemas.microsoft.com/office/drawing/2014/chart" uri="{C3380CC4-5D6E-409C-BE32-E72D297353CC}">
              <c16:uniqueId val="{00000001-3C68-4E44-99EC-C19942DA2919}"/>
            </c:ext>
          </c:extLst>
        </c:ser>
        <c:dLbls>
          <c:showLegendKey val="0"/>
          <c:showVal val="0"/>
          <c:showCatName val="0"/>
          <c:showSerName val="0"/>
          <c:showPercent val="0"/>
          <c:showBubbleSize val="0"/>
        </c:dLbls>
        <c:marker val="1"/>
        <c:smooth val="0"/>
        <c:axId val="1850621760"/>
        <c:axId val="1850618880"/>
      </c:lineChart>
      <c:catAx>
        <c:axId val="185062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18880"/>
        <c:crosses val="autoZero"/>
        <c:auto val="1"/>
        <c:lblAlgn val="ctr"/>
        <c:lblOffset val="100"/>
        <c:noMultiLvlLbl val="0"/>
      </c:catAx>
      <c:valAx>
        <c:axId val="185061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2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a:t>
            </a:r>
            <a:r>
              <a:rPr lang="en-US" baseline="0"/>
              <a:t> Per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_(* #,##0_);_(* \(#,##0\);_(* "-"??_);_(@_)</c:formatCode>
                <c:ptCount val="2"/>
                <c:pt idx="0">
                  <c:v>66666.666666666672</c:v>
                </c:pt>
                <c:pt idx="1">
                  <c:v>22500</c:v>
                </c:pt>
              </c:numCache>
            </c:numRef>
          </c:val>
          <c:extLst>
            <c:ext xmlns:c16="http://schemas.microsoft.com/office/drawing/2014/chart" uri="{C3380CC4-5D6E-409C-BE32-E72D297353CC}">
              <c16:uniqueId val="{00000000-9106-4C45-8A62-8AD8CDD53C01}"/>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_(* #,##0_);_(* \(#,##0\);_(* "-"??_);_(@_)</c:formatCode>
                <c:ptCount val="2"/>
                <c:pt idx="0">
                  <c:v>35000</c:v>
                </c:pt>
                <c:pt idx="1">
                  <c:v>33333.333333333336</c:v>
                </c:pt>
              </c:numCache>
            </c:numRef>
          </c:val>
          <c:extLst>
            <c:ext xmlns:c16="http://schemas.microsoft.com/office/drawing/2014/chart" uri="{C3380CC4-5D6E-409C-BE32-E72D297353CC}">
              <c16:uniqueId val="{00000001-9106-4C45-8A62-8AD8CDD53C01}"/>
            </c:ext>
          </c:extLst>
        </c:ser>
        <c:dLbls>
          <c:showLegendKey val="0"/>
          <c:showVal val="0"/>
          <c:showCatName val="0"/>
          <c:showSerName val="0"/>
          <c:showPercent val="0"/>
          <c:showBubbleSize val="0"/>
        </c:dLbls>
        <c:gapWidth val="219"/>
        <c:overlap val="-27"/>
        <c:axId val="1847048352"/>
        <c:axId val="1847047392"/>
      </c:barChart>
      <c:catAx>
        <c:axId val="18470483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47392"/>
        <c:crosses val="autoZero"/>
        <c:auto val="1"/>
        <c:lblAlgn val="ctr"/>
        <c:lblOffset val="100"/>
        <c:noMultiLvlLbl val="0"/>
      </c:catAx>
      <c:valAx>
        <c:axId val="18470473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70483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Table'!$B$24:$B$25</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Table'!$A$26:$A$30</c:f>
              <c:strCache>
                <c:ptCount val="4"/>
                <c:pt idx="0">
                  <c:v>0-1 Miles</c:v>
                </c:pt>
                <c:pt idx="1">
                  <c:v>1-2 Miles</c:v>
                </c:pt>
                <c:pt idx="2">
                  <c:v>2-5 Miles</c:v>
                </c:pt>
                <c:pt idx="3">
                  <c:v>More than 10 Miles</c:v>
                </c:pt>
              </c:strCache>
            </c:strRef>
          </c:cat>
          <c:val>
            <c:numRef>
              <c:f>'Pivot Table'!$B$26:$B$30</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6218-4557-AD08-FDF33D7CC484}"/>
            </c:ext>
          </c:extLst>
        </c:ser>
        <c:ser>
          <c:idx val="1"/>
          <c:order val="1"/>
          <c:tx>
            <c:strRef>
              <c:f>'Pivot Table'!$C$24:$C$25</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Table'!$A$26:$A$30</c:f>
              <c:strCache>
                <c:ptCount val="4"/>
                <c:pt idx="0">
                  <c:v>0-1 Miles</c:v>
                </c:pt>
                <c:pt idx="1">
                  <c:v>1-2 Miles</c:v>
                </c:pt>
                <c:pt idx="2">
                  <c:v>2-5 Miles</c:v>
                </c:pt>
                <c:pt idx="3">
                  <c:v>More than 10 Miles</c:v>
                </c:pt>
              </c:strCache>
            </c:strRef>
          </c:cat>
          <c:val>
            <c:numRef>
              <c:f>'Pivot Table'!$C$26:$C$30</c:f>
              <c:numCache>
                <c:formatCode>General</c:formatCode>
                <c:ptCount val="4"/>
                <c:pt idx="0">
                  <c:v>11</c:v>
                </c:pt>
                <c:pt idx="1">
                  <c:v>2</c:v>
                </c:pt>
              </c:numCache>
            </c:numRef>
          </c:val>
          <c:smooth val="0"/>
          <c:extLst>
            <c:ext xmlns:c16="http://schemas.microsoft.com/office/drawing/2014/chart" uri="{C3380CC4-5D6E-409C-BE32-E72D297353CC}">
              <c16:uniqueId val="{00000001-6218-4557-AD08-FDF33D7CC484}"/>
            </c:ext>
          </c:extLst>
        </c:ser>
        <c:dLbls>
          <c:showLegendKey val="0"/>
          <c:showVal val="0"/>
          <c:showCatName val="0"/>
          <c:showSerName val="0"/>
          <c:showPercent val="0"/>
          <c:showBubbleSize val="0"/>
        </c:dLbls>
        <c:marker val="1"/>
        <c:smooth val="0"/>
        <c:axId val="1647180784"/>
        <c:axId val="1647178384"/>
      </c:lineChart>
      <c:catAx>
        <c:axId val="16471807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7178384"/>
        <c:crosses val="autoZero"/>
        <c:auto val="1"/>
        <c:lblAlgn val="ctr"/>
        <c:lblOffset val="100"/>
        <c:noMultiLvlLbl val="0"/>
      </c:catAx>
      <c:valAx>
        <c:axId val="1647178384"/>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471807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Purchase Insights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Table'!$B$40:$B$41</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Table'!$A$42:$A$44</c:f>
              <c:strCache>
                <c:ptCount val="2"/>
                <c:pt idx="0">
                  <c:v>Middle Age</c:v>
                </c:pt>
                <c:pt idx="1">
                  <c:v>Old</c:v>
                </c:pt>
              </c:strCache>
            </c:strRef>
          </c:cat>
          <c:val>
            <c:numRef>
              <c:f>'Pivot Table'!$B$42:$B$44</c:f>
              <c:numCache>
                <c:formatCode>General</c:formatCode>
                <c:ptCount val="2"/>
                <c:pt idx="0">
                  <c:v>4</c:v>
                </c:pt>
                <c:pt idx="1">
                  <c:v>3</c:v>
                </c:pt>
              </c:numCache>
            </c:numRef>
          </c:val>
          <c:smooth val="0"/>
          <c:extLst>
            <c:ext xmlns:c16="http://schemas.microsoft.com/office/drawing/2014/chart" uri="{C3380CC4-5D6E-409C-BE32-E72D297353CC}">
              <c16:uniqueId val="{00000000-EFA3-4503-BA11-92A746CF0236}"/>
            </c:ext>
          </c:extLst>
        </c:ser>
        <c:ser>
          <c:idx val="1"/>
          <c:order val="1"/>
          <c:tx>
            <c:strRef>
              <c:f>'Pivot Table'!$C$40:$C$41</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Table'!$A$42:$A$44</c:f>
              <c:strCache>
                <c:ptCount val="2"/>
                <c:pt idx="0">
                  <c:v>Middle Age</c:v>
                </c:pt>
                <c:pt idx="1">
                  <c:v>Old</c:v>
                </c:pt>
              </c:strCache>
            </c:strRef>
          </c:cat>
          <c:val>
            <c:numRef>
              <c:f>'Pivot Table'!$C$42:$C$44</c:f>
              <c:numCache>
                <c:formatCode>General</c:formatCode>
                <c:ptCount val="2"/>
                <c:pt idx="0">
                  <c:v>12</c:v>
                </c:pt>
                <c:pt idx="1">
                  <c:v>1</c:v>
                </c:pt>
              </c:numCache>
            </c:numRef>
          </c:val>
          <c:smooth val="0"/>
          <c:extLst>
            <c:ext xmlns:c16="http://schemas.microsoft.com/office/drawing/2014/chart" uri="{C3380CC4-5D6E-409C-BE32-E72D297353CC}">
              <c16:uniqueId val="{00000001-EFA3-4503-BA11-92A746CF0236}"/>
            </c:ext>
          </c:extLst>
        </c:ser>
        <c:dLbls>
          <c:showLegendKey val="0"/>
          <c:showVal val="0"/>
          <c:showCatName val="0"/>
          <c:showSerName val="0"/>
          <c:showPercent val="0"/>
          <c:showBubbleSize val="0"/>
        </c:dLbls>
        <c:marker val="1"/>
        <c:smooth val="0"/>
        <c:axId val="1850621760"/>
        <c:axId val="1850618880"/>
      </c:lineChart>
      <c:catAx>
        <c:axId val="18506217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18880"/>
        <c:crosses val="autoZero"/>
        <c:auto val="1"/>
        <c:lblAlgn val="ctr"/>
        <c:lblOffset val="100"/>
        <c:noMultiLvlLbl val="0"/>
      </c:catAx>
      <c:valAx>
        <c:axId val="185061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621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107950</xdr:colOff>
      <xdr:row>0</xdr:row>
      <xdr:rowOff>6350</xdr:rowOff>
    </xdr:from>
    <xdr:to>
      <xdr:col>12</xdr:col>
      <xdr:colOff>444500</xdr:colOff>
      <xdr:row>17</xdr:row>
      <xdr:rowOff>158750</xdr:rowOff>
    </xdr:to>
    <xdr:graphicFrame macro="">
      <xdr:nvGraphicFramePr>
        <xdr:cNvPr id="2" name="Chart 1">
          <a:extLst>
            <a:ext uri="{FF2B5EF4-FFF2-40B4-BE49-F238E27FC236}">
              <a16:creationId xmlns:a16="http://schemas.microsoft.com/office/drawing/2014/main" id="{3D9D0C37-9178-D530-8D73-FE757F2A42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196850</xdr:colOff>
      <xdr:row>19</xdr:row>
      <xdr:rowOff>50800</xdr:rowOff>
    </xdr:from>
    <xdr:to>
      <xdr:col>12</xdr:col>
      <xdr:colOff>488950</xdr:colOff>
      <xdr:row>34</xdr:row>
      <xdr:rowOff>101600</xdr:rowOff>
    </xdr:to>
    <xdr:graphicFrame macro="">
      <xdr:nvGraphicFramePr>
        <xdr:cNvPr id="3" name="Chart 2">
          <a:extLst>
            <a:ext uri="{FF2B5EF4-FFF2-40B4-BE49-F238E27FC236}">
              <a16:creationId xmlns:a16="http://schemas.microsoft.com/office/drawing/2014/main" id="{00259D01-1FD2-62DA-1A0A-79A77FAC95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234950</xdr:colOff>
      <xdr:row>35</xdr:row>
      <xdr:rowOff>127000</xdr:rowOff>
    </xdr:from>
    <xdr:to>
      <xdr:col>12</xdr:col>
      <xdr:colOff>533400</xdr:colOff>
      <xdr:row>51</xdr:row>
      <xdr:rowOff>107950</xdr:rowOff>
    </xdr:to>
    <xdr:graphicFrame macro="">
      <xdr:nvGraphicFramePr>
        <xdr:cNvPr id="4" name="Chart 3">
          <a:extLst>
            <a:ext uri="{FF2B5EF4-FFF2-40B4-BE49-F238E27FC236}">
              <a16:creationId xmlns:a16="http://schemas.microsoft.com/office/drawing/2014/main" id="{EFF99CBB-7E7C-4308-E881-84700900FC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87587</xdr:colOff>
      <xdr:row>6</xdr:row>
      <xdr:rowOff>87586</xdr:rowOff>
    </xdr:from>
    <xdr:to>
      <xdr:col>9</xdr:col>
      <xdr:colOff>525517</xdr:colOff>
      <xdr:row>22</xdr:row>
      <xdr:rowOff>167873</xdr:rowOff>
    </xdr:to>
    <xdr:graphicFrame macro="">
      <xdr:nvGraphicFramePr>
        <xdr:cNvPr id="2" name="Chart 1">
          <a:extLst>
            <a:ext uri="{FF2B5EF4-FFF2-40B4-BE49-F238E27FC236}">
              <a16:creationId xmlns:a16="http://schemas.microsoft.com/office/drawing/2014/main" id="{EE07CF18-8859-41C0-A787-A7971D239C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86864</xdr:colOff>
      <xdr:row>23</xdr:row>
      <xdr:rowOff>153275</xdr:rowOff>
    </xdr:from>
    <xdr:to>
      <xdr:col>17</xdr:col>
      <xdr:colOff>0</xdr:colOff>
      <xdr:row>39</xdr:row>
      <xdr:rowOff>124080</xdr:rowOff>
    </xdr:to>
    <xdr:graphicFrame macro="">
      <xdr:nvGraphicFramePr>
        <xdr:cNvPr id="3" name="Chart 2">
          <a:extLst>
            <a:ext uri="{FF2B5EF4-FFF2-40B4-BE49-F238E27FC236}">
              <a16:creationId xmlns:a16="http://schemas.microsoft.com/office/drawing/2014/main" id="{9CD0F430-3B0F-4F1F-90C8-BFA22720A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569311</xdr:colOff>
      <xdr:row>6</xdr:row>
      <xdr:rowOff>80287</xdr:rowOff>
    </xdr:from>
    <xdr:to>
      <xdr:col>16</xdr:col>
      <xdr:colOff>598507</xdr:colOff>
      <xdr:row>23</xdr:row>
      <xdr:rowOff>7299</xdr:rowOff>
    </xdr:to>
    <xdr:graphicFrame macro="">
      <xdr:nvGraphicFramePr>
        <xdr:cNvPr id="4" name="Chart 3">
          <a:extLst>
            <a:ext uri="{FF2B5EF4-FFF2-40B4-BE49-F238E27FC236}">
              <a16:creationId xmlns:a16="http://schemas.microsoft.com/office/drawing/2014/main" id="{0F6ABE70-9DD7-4A56-BFD5-27FEB42A6F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21897</xdr:colOff>
      <xdr:row>6</xdr:row>
      <xdr:rowOff>28685</xdr:rowOff>
    </xdr:from>
    <xdr:to>
      <xdr:col>3</xdr:col>
      <xdr:colOff>58391</xdr:colOff>
      <xdr:row>11</xdr:row>
      <xdr:rowOff>94885</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64EABAF-6C96-1D4E-177E-14D2BC67C282}"/>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21897" y="1127723"/>
              <a:ext cx="1868225" cy="982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33647</xdr:colOff>
      <xdr:row>18</xdr:row>
      <xdr:rowOff>101236</xdr:rowOff>
    </xdr:from>
    <xdr:to>
      <xdr:col>3</xdr:col>
      <xdr:colOff>43792</xdr:colOff>
      <xdr:row>27</xdr:row>
      <xdr:rowOff>167875</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C0D14289-09FA-BEF3-92D7-2471C35C236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3647" y="3398351"/>
              <a:ext cx="1841876" cy="17151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35473</xdr:colOff>
      <xdr:row>11</xdr:row>
      <xdr:rowOff>132256</xdr:rowOff>
    </xdr:from>
    <xdr:to>
      <xdr:col>3</xdr:col>
      <xdr:colOff>51092</xdr:colOff>
      <xdr:row>18</xdr:row>
      <xdr:rowOff>36495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E29D44A5-5E8C-CCE3-1E7E-7BB4740B5B5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5473" y="2147160"/>
              <a:ext cx="1847350" cy="1186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GOCNT" refreshedDate="45982.92769016204" createdVersion="8" refreshedVersion="8" minRefreshableVersion="3" recordCount="1000" xr:uid="{BADD8BD0-B9F5-49CE-9DD0-BDBF987918EF}">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7264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F280C8-05AC-4C69-8FA8-F8AB8CEE24CB}" name="PivotTable3"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0:D44"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3">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AB4A8B-3EC9-4CC5-8897-159B8516442B}" name="PivotTable2"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4:D30"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60FF579-50CF-4EA8-A3E8-6E4241F6507D}"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71"/>
  </dataFields>
  <formats count="1">
    <format dxfId="18">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FB64890-39FA-4410-BA1D-031BE424F0FF}" sourceName="Marital Status">
  <pivotTables>
    <pivotTable tabId="3" name="PivotTable1"/>
    <pivotTable tabId="3" name="PivotTable2"/>
    <pivotTable tabId="3" name="PivotTable3"/>
  </pivotTables>
  <data>
    <tabular pivotCacheId="17726444">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C7BA695-1651-4C9C-9B80-26013D52D49D}" sourceName="Education">
  <pivotTables>
    <pivotTable tabId="3" name="PivotTable1"/>
    <pivotTable tabId="3" name="PivotTable2"/>
    <pivotTable tabId="3" name="PivotTable3"/>
  </pivotTables>
  <data>
    <tabular pivotCacheId="17726444">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2D26C25-EC3F-49E3-B687-7A3AE0968ECC}" sourceName="Region">
  <pivotTables>
    <pivotTable tabId="3" name="PivotTable1"/>
    <pivotTable tabId="3" name="PivotTable2"/>
    <pivotTable tabId="3" name="PivotTable3"/>
  </pivotTables>
  <data>
    <tabular pivotCacheId="17726444">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FBA350B-F207-450E-9D92-51C06CCF73C8}" cache="Slicer_Marital_Status" caption="Marital Status" rowHeight="241300"/>
  <slicer name="Education" xr10:uid="{471D587A-8E7E-4166-AB94-81A64C7B1D14}" cache="Slicer_Education" caption="Education" rowHeight="241300"/>
  <slicer name="Region" xr10:uid="{06E59A31-BD73-4146-AB9A-3B1351E1EB5C}"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zoomScale="85" workbookViewId="0">
      <selection sqref="A1:XFD1048576"/>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9B2BC-DE81-4E53-8782-A04B72ADEE1D}">
  <dimension ref="A1:N1001"/>
  <sheetViews>
    <sheetView tabSelected="1" topLeftCell="F1" zoomScale="85" workbookViewId="0">
      <selection activeCell="M4" sqref="M4"/>
    </sheetView>
  </sheetViews>
  <sheetFormatPr defaultColWidth="11.90625" defaultRowHeight="14.5" x14ac:dyDescent="0.35"/>
  <cols>
    <col min="2" max="2" width="24.08984375" bestFit="1" customWidth="1"/>
    <col min="4" max="4" width="11.90625" style="3"/>
    <col min="7" max="7" width="13" bestFit="1" customWidth="1"/>
    <col min="8" max="8" width="14.6328125" bestFit="1" customWidth="1"/>
    <col min="9" max="9" width="7.26953125" bestFit="1" customWidth="1"/>
    <col min="10" max="10" width="19.26953125" bestFit="1" customWidth="1"/>
    <col min="13" max="13" width="14.1796875" bestFit="1" customWidth="1"/>
    <col min="14" max="14" width="16.08984375" bestFit="1"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36</v>
      </c>
      <c r="C2" t="s">
        <v>38</v>
      </c>
      <c r="D2" s="3">
        <v>40000</v>
      </c>
      <c r="E2">
        <v>1</v>
      </c>
      <c r="F2" t="s">
        <v>13</v>
      </c>
      <c r="G2" t="s">
        <v>14</v>
      </c>
      <c r="H2" t="s">
        <v>15</v>
      </c>
      <c r="I2">
        <v>0</v>
      </c>
      <c r="J2" t="s">
        <v>16</v>
      </c>
      <c r="K2" t="s">
        <v>17</v>
      </c>
      <c r="L2">
        <v>42</v>
      </c>
      <c r="M2" t="str">
        <f>IF(L2&gt;54,"Old",IF(L2&gt;=31,"Middle Age",IF(L2&lt;31,"Adolescent")))</f>
        <v>Middle Age</v>
      </c>
      <c r="N2" t="s">
        <v>18</v>
      </c>
    </row>
    <row r="3" spans="1:14" x14ac:dyDescent="0.35">
      <c r="A3">
        <v>24107</v>
      </c>
      <c r="B3" t="s">
        <v>36</v>
      </c>
      <c r="C3" t="s">
        <v>39</v>
      </c>
      <c r="D3" s="3">
        <v>30000</v>
      </c>
      <c r="E3">
        <v>3</v>
      </c>
      <c r="F3" t="s">
        <v>19</v>
      </c>
      <c r="G3" t="s">
        <v>20</v>
      </c>
      <c r="H3" t="s">
        <v>15</v>
      </c>
      <c r="I3">
        <v>1</v>
      </c>
      <c r="J3" t="s">
        <v>16</v>
      </c>
      <c r="K3" t="s">
        <v>17</v>
      </c>
      <c r="L3">
        <v>43</v>
      </c>
      <c r="M3" t="str">
        <f>IF(L3&gt;54,"Old",IF(L3&gt;=31,"Middle Age",IF(L3&lt;31,"Adolescent")))</f>
        <v>Middle Age</v>
      </c>
      <c r="N3" t="s">
        <v>18</v>
      </c>
    </row>
    <row r="4" spans="1:14" x14ac:dyDescent="0.35">
      <c r="A4">
        <v>14177</v>
      </c>
      <c r="B4" t="s">
        <v>36</v>
      </c>
      <c r="C4" t="s">
        <v>39</v>
      </c>
      <c r="D4" s="3">
        <v>80000</v>
      </c>
      <c r="E4">
        <v>5</v>
      </c>
      <c r="F4" t="s">
        <v>19</v>
      </c>
      <c r="G4" t="s">
        <v>21</v>
      </c>
      <c r="H4" t="s">
        <v>18</v>
      </c>
      <c r="I4">
        <v>2</v>
      </c>
      <c r="J4" t="s">
        <v>22</v>
      </c>
      <c r="K4" t="s">
        <v>17</v>
      </c>
      <c r="L4">
        <v>60</v>
      </c>
      <c r="M4" t="str">
        <f t="shared" ref="M3:M66" si="0">IF(L4&gt;54,"Old",IF(L4&gt;=31,"Middle Age",IF(L4&lt;31,"Adolescent")))</f>
        <v>Old</v>
      </c>
      <c r="N4" t="s">
        <v>18</v>
      </c>
    </row>
    <row r="5" spans="1:14" x14ac:dyDescent="0.35">
      <c r="A5">
        <v>24381</v>
      </c>
      <c r="B5" t="s">
        <v>37</v>
      </c>
      <c r="C5" t="s">
        <v>39</v>
      </c>
      <c r="D5" s="3">
        <v>70000</v>
      </c>
      <c r="E5">
        <v>0</v>
      </c>
      <c r="F5" t="s">
        <v>13</v>
      </c>
      <c r="G5" t="s">
        <v>21</v>
      </c>
      <c r="H5" t="s">
        <v>15</v>
      </c>
      <c r="I5">
        <v>1</v>
      </c>
      <c r="J5" t="s">
        <v>23</v>
      </c>
      <c r="K5" t="s">
        <v>24</v>
      </c>
      <c r="L5">
        <v>41</v>
      </c>
      <c r="M5" t="str">
        <f t="shared" si="0"/>
        <v>Middle Age</v>
      </c>
      <c r="N5" t="s">
        <v>15</v>
      </c>
    </row>
    <row r="6" spans="1:14" x14ac:dyDescent="0.35">
      <c r="A6">
        <v>25597</v>
      </c>
      <c r="B6" t="s">
        <v>37</v>
      </c>
      <c r="C6" t="s">
        <v>39</v>
      </c>
      <c r="D6" s="3">
        <v>30000</v>
      </c>
      <c r="E6">
        <v>0</v>
      </c>
      <c r="F6" t="s">
        <v>13</v>
      </c>
      <c r="G6" t="s">
        <v>20</v>
      </c>
      <c r="H6" t="s">
        <v>18</v>
      </c>
      <c r="I6">
        <v>0</v>
      </c>
      <c r="J6" t="s">
        <v>16</v>
      </c>
      <c r="K6" t="s">
        <v>17</v>
      </c>
      <c r="L6">
        <v>36</v>
      </c>
      <c r="M6" t="str">
        <f t="shared" si="0"/>
        <v>Middle Age</v>
      </c>
      <c r="N6" t="s">
        <v>15</v>
      </c>
    </row>
    <row r="7" spans="1:14" x14ac:dyDescent="0.35">
      <c r="A7">
        <v>13507</v>
      </c>
      <c r="B7" t="s">
        <v>36</v>
      </c>
      <c r="C7" t="s">
        <v>38</v>
      </c>
      <c r="D7" s="3">
        <v>10000</v>
      </c>
      <c r="E7">
        <v>2</v>
      </c>
      <c r="F7" t="s">
        <v>19</v>
      </c>
      <c r="G7" t="s">
        <v>25</v>
      </c>
      <c r="H7" t="s">
        <v>15</v>
      </c>
      <c r="I7">
        <v>0</v>
      </c>
      <c r="J7" t="s">
        <v>26</v>
      </c>
      <c r="K7" t="s">
        <v>17</v>
      </c>
      <c r="L7">
        <v>50</v>
      </c>
      <c r="M7" t="str">
        <f t="shared" si="0"/>
        <v>Middle Age</v>
      </c>
      <c r="N7" t="s">
        <v>18</v>
      </c>
    </row>
    <row r="8" spans="1:14" x14ac:dyDescent="0.35">
      <c r="A8">
        <v>27974</v>
      </c>
      <c r="B8" t="s">
        <v>37</v>
      </c>
      <c r="C8" t="s">
        <v>39</v>
      </c>
      <c r="D8" s="3">
        <v>160000</v>
      </c>
      <c r="E8">
        <v>2</v>
      </c>
      <c r="F8" t="s">
        <v>27</v>
      </c>
      <c r="G8" t="s">
        <v>28</v>
      </c>
      <c r="H8" t="s">
        <v>15</v>
      </c>
      <c r="I8">
        <v>4</v>
      </c>
      <c r="J8" t="s">
        <v>16</v>
      </c>
      <c r="K8" t="s">
        <v>24</v>
      </c>
      <c r="L8">
        <v>33</v>
      </c>
      <c r="M8" t="str">
        <f t="shared" si="0"/>
        <v>Middle Age</v>
      </c>
      <c r="N8" t="s">
        <v>15</v>
      </c>
    </row>
    <row r="9" spans="1:14" x14ac:dyDescent="0.35">
      <c r="A9">
        <v>19364</v>
      </c>
      <c r="B9" t="s">
        <v>36</v>
      </c>
      <c r="C9" t="s">
        <v>39</v>
      </c>
      <c r="D9" s="3">
        <v>40000</v>
      </c>
      <c r="E9">
        <v>1</v>
      </c>
      <c r="F9" t="s">
        <v>13</v>
      </c>
      <c r="G9" t="s">
        <v>14</v>
      </c>
      <c r="H9" t="s">
        <v>15</v>
      </c>
      <c r="I9">
        <v>0</v>
      </c>
      <c r="J9" t="s">
        <v>16</v>
      </c>
      <c r="K9" t="s">
        <v>17</v>
      </c>
      <c r="L9">
        <v>43</v>
      </c>
      <c r="M9" t="str">
        <f t="shared" si="0"/>
        <v>Middle Age</v>
      </c>
      <c r="N9" t="s">
        <v>15</v>
      </c>
    </row>
    <row r="10" spans="1:14" x14ac:dyDescent="0.3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3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5">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3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3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3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5">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3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3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3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3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3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3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5">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3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3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5">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3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5">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f>
        <v>Old</v>
      </c>
      <c r="N67" t="s">
        <v>18</v>
      </c>
    </row>
    <row r="68" spans="1:14" x14ac:dyDescent="0.3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5">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3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5">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3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35">
      <c r="A97">
        <v>17197</v>
      </c>
      <c r="B97" t="s">
        <v>37</v>
      </c>
      <c r="C97" t="s">
        <v>38</v>
      </c>
      <c r="D97" s="3">
        <v>90000</v>
      </c>
      <c r="E97">
        <v>5</v>
      </c>
      <c r="F97" t="s">
        <v>19</v>
      </c>
      <c r="G97" t="s">
        <v>21</v>
      </c>
      <c r="H97" t="s">
        <v>15</v>
      </c>
      <c r="I97">
        <v>2</v>
      </c>
      <c r="J97" t="s">
        <v>46</v>
      </c>
      <c r="K97" t="s">
        <v>17</v>
      </c>
      <c r="L97">
        <v>62</v>
      </c>
      <c r="M97" t="str">
        <f t="shared" si="1"/>
        <v>Old</v>
      </c>
      <c r="N97" t="s">
        <v>18</v>
      </c>
    </row>
    <row r="98" spans="1:14" x14ac:dyDescent="0.3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f>
        <v>Middle Age</v>
      </c>
      <c r="N131" t="s">
        <v>15</v>
      </c>
    </row>
    <row r="132" spans="1:14" x14ac:dyDescent="0.3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36</v>
      </c>
      <c r="C180" t="s">
        <v>39</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36</v>
      </c>
      <c r="C186" t="s">
        <v>38</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37</v>
      </c>
      <c r="C189" t="s">
        <v>39</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37</v>
      </c>
      <c r="C194" t="s">
        <v>38</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36</v>
      </c>
      <c r="C195" t="s">
        <v>38</v>
      </c>
      <c r="D195" s="3">
        <v>70000</v>
      </c>
      <c r="E195">
        <v>5</v>
      </c>
      <c r="F195" t="s">
        <v>13</v>
      </c>
      <c r="G195" t="s">
        <v>21</v>
      </c>
      <c r="H195" t="s">
        <v>15</v>
      </c>
      <c r="I195">
        <v>4</v>
      </c>
      <c r="J195" t="s">
        <v>46</v>
      </c>
      <c r="K195" t="s">
        <v>24</v>
      </c>
      <c r="L195">
        <v>41</v>
      </c>
      <c r="M195" t="str">
        <f t="shared" ref="M195:M258" si="3">IF(L195&gt;54,"Old",IF(L195&gt;=31,"Middle Age",IF(L195&lt;31,"Adolescent")))</f>
        <v>Middle Age</v>
      </c>
      <c r="N195" t="s">
        <v>18</v>
      </c>
    </row>
    <row r="196" spans="1:14" x14ac:dyDescent="0.3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37</v>
      </c>
      <c r="C208" t="s">
        <v>39</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37</v>
      </c>
      <c r="C231" t="s">
        <v>39</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36</v>
      </c>
      <c r="C232" t="s">
        <v>39</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36</v>
      </c>
      <c r="C255" t="s">
        <v>39</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f>
        <v>Middle Age</v>
      </c>
      <c r="N259" t="s">
        <v>15</v>
      </c>
    </row>
    <row r="260" spans="1:14" x14ac:dyDescent="0.35">
      <c r="A260">
        <v>14193</v>
      </c>
      <c r="B260" t="s">
        <v>37</v>
      </c>
      <c r="C260" t="s">
        <v>38</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f>
        <v>Middle Age</v>
      </c>
      <c r="N323" t="s">
        <v>15</v>
      </c>
    </row>
    <row r="324" spans="1:14" x14ac:dyDescent="0.3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36</v>
      </c>
      <c r="C331" t="s">
        <v>38</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f>
        <v>Middle Age</v>
      </c>
      <c r="N387" t="s">
        <v>18</v>
      </c>
    </row>
    <row r="388" spans="1:14" x14ac:dyDescent="0.35">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36</v>
      </c>
      <c r="C422" t="s">
        <v>38</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f>
        <v>Middle Age</v>
      </c>
      <c r="N451" t="s">
        <v>18</v>
      </c>
    </row>
    <row r="452" spans="1:14" x14ac:dyDescent="0.3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36</v>
      </c>
      <c r="C488" t="s">
        <v>38</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37</v>
      </c>
      <c r="C495" t="s">
        <v>39</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36</v>
      </c>
      <c r="C497" t="s">
        <v>39</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37</v>
      </c>
      <c r="C515" t="s">
        <v>38</v>
      </c>
      <c r="D515" s="3">
        <v>60000</v>
      </c>
      <c r="E515">
        <v>4</v>
      </c>
      <c r="F515" t="s">
        <v>31</v>
      </c>
      <c r="G515" t="s">
        <v>28</v>
      </c>
      <c r="H515" t="s">
        <v>15</v>
      </c>
      <c r="I515">
        <v>2</v>
      </c>
      <c r="J515" t="s">
        <v>46</v>
      </c>
      <c r="K515" t="s">
        <v>32</v>
      </c>
      <c r="L515">
        <v>61</v>
      </c>
      <c r="M515" t="str">
        <f t="shared" ref="M515:M578" si="8">IF(L515&gt;54,"Old",IF(L515&gt;=31,"Middle Age",IF(L515&lt;31,"Adolescent")))</f>
        <v>Old</v>
      </c>
      <c r="N515" t="s">
        <v>15</v>
      </c>
    </row>
    <row r="516" spans="1:14" x14ac:dyDescent="0.3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37</v>
      </c>
      <c r="C523" t="s">
        <v>39</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37</v>
      </c>
      <c r="C527" t="s">
        <v>39</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36</v>
      </c>
      <c r="C531" t="s">
        <v>39</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36</v>
      </c>
      <c r="C535" t="s">
        <v>39</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36</v>
      </c>
      <c r="C536" t="s">
        <v>39</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36</v>
      </c>
      <c r="C553" t="s">
        <v>38</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37</v>
      </c>
      <c r="C561" t="s">
        <v>38</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37</v>
      </c>
      <c r="C571" t="s">
        <v>39</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37</v>
      </c>
      <c r="C577" t="s">
        <v>39</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f>
        <v>Middle Age</v>
      </c>
      <c r="N579" t="s">
        <v>18</v>
      </c>
    </row>
    <row r="580" spans="1:14" x14ac:dyDescent="0.3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36</v>
      </c>
      <c r="C582" t="s">
        <v>38</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36</v>
      </c>
      <c r="C585" t="s">
        <v>39</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37</v>
      </c>
      <c r="C591" t="s">
        <v>39</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36</v>
      </c>
      <c r="C593" t="s">
        <v>39</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36</v>
      </c>
      <c r="C643" t="s">
        <v>39</v>
      </c>
      <c r="D643" s="3">
        <v>50000</v>
      </c>
      <c r="E643">
        <v>4</v>
      </c>
      <c r="F643" t="s">
        <v>13</v>
      </c>
      <c r="G643" t="s">
        <v>28</v>
      </c>
      <c r="H643" t="s">
        <v>15</v>
      </c>
      <c r="I643">
        <v>2</v>
      </c>
      <c r="J643" t="s">
        <v>46</v>
      </c>
      <c r="K643" t="s">
        <v>32</v>
      </c>
      <c r="L643">
        <v>64</v>
      </c>
      <c r="M643" t="str">
        <f t="shared" ref="M643:M706" si="10">IF(L643&gt;54,"Old",IF(L643&gt;=31,"Middle Age",IF(L643&lt;31,"Adolescent")))</f>
        <v>Old</v>
      </c>
      <c r="N643" t="s">
        <v>18</v>
      </c>
    </row>
    <row r="644" spans="1:14" x14ac:dyDescent="0.3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37</v>
      </c>
      <c r="C652" t="s">
        <v>38</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37</v>
      </c>
      <c r="C661" t="s">
        <v>38</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36</v>
      </c>
      <c r="C669" t="s">
        <v>38</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36</v>
      </c>
      <c r="C672" t="s">
        <v>39</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36</v>
      </c>
      <c r="C681" t="s">
        <v>39</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36</v>
      </c>
      <c r="C707" t="s">
        <v>38</v>
      </c>
      <c r="D707" s="3">
        <v>70000</v>
      </c>
      <c r="E707">
        <v>4</v>
      </c>
      <c r="F707" t="s">
        <v>13</v>
      </c>
      <c r="G707" t="s">
        <v>28</v>
      </c>
      <c r="H707" t="s">
        <v>15</v>
      </c>
      <c r="I707">
        <v>1</v>
      </c>
      <c r="J707" t="s">
        <v>46</v>
      </c>
      <c r="K707" t="s">
        <v>32</v>
      </c>
      <c r="L707">
        <v>59</v>
      </c>
      <c r="M707" t="str">
        <f t="shared" ref="M707:M770" si="11">IF(L707&gt;54,"Old",IF(L707&gt;=31,"Middle Age",IF(L707&lt;31,"Adolescent")))</f>
        <v>Old</v>
      </c>
      <c r="N707" t="s">
        <v>18</v>
      </c>
    </row>
    <row r="708" spans="1:14" x14ac:dyDescent="0.3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36</v>
      </c>
      <c r="C710" t="s">
        <v>39</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37</v>
      </c>
      <c r="C711" t="s">
        <v>38</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36</v>
      </c>
      <c r="C713" t="s">
        <v>38</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36</v>
      </c>
      <c r="C741" t="s">
        <v>38</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36</v>
      </c>
      <c r="C746" t="s">
        <v>38</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36</v>
      </c>
      <c r="C748" t="s">
        <v>38</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36</v>
      </c>
      <c r="C763" t="s">
        <v>38</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f>
        <v>Middle Age</v>
      </c>
      <c r="N771" t="s">
        <v>18</v>
      </c>
    </row>
    <row r="772" spans="1:14" x14ac:dyDescent="0.3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36</v>
      </c>
      <c r="C782" t="s">
        <v>38</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37</v>
      </c>
      <c r="C814" t="s">
        <v>38</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f>
        <v>Middle Age</v>
      </c>
      <c r="N835" t="s">
        <v>15</v>
      </c>
    </row>
    <row r="836" spans="1:14" x14ac:dyDescent="0.3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36</v>
      </c>
      <c r="C846" t="s">
        <v>38</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36</v>
      </c>
      <c r="C868" t="s">
        <v>39</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37</v>
      </c>
      <c r="C870" t="s">
        <v>39</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36</v>
      </c>
      <c r="C873" t="s">
        <v>39</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f>
        <v>Adolescent</v>
      </c>
      <c r="N899" t="s">
        <v>18</v>
      </c>
    </row>
    <row r="900" spans="1:14" x14ac:dyDescent="0.35">
      <c r="A900">
        <v>18066</v>
      </c>
      <c r="B900" t="s">
        <v>37</v>
      </c>
      <c r="C900" t="s">
        <v>39</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36</v>
      </c>
      <c r="C909" t="s">
        <v>39</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36</v>
      </c>
      <c r="C917" t="s">
        <v>39</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36</v>
      </c>
      <c r="C921" t="s">
        <v>38</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37</v>
      </c>
      <c r="C928" t="s">
        <v>38</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f>
        <v>Old</v>
      </c>
      <c r="N963" t="s">
        <v>18</v>
      </c>
    </row>
    <row r="964" spans="1:14" x14ac:dyDescent="0.35">
      <c r="A964">
        <v>16813</v>
      </c>
      <c r="B964" t="s">
        <v>36</v>
      </c>
      <c r="C964" t="s">
        <v>39</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37</v>
      </c>
      <c r="C966" t="s">
        <v>39</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36</v>
      </c>
      <c r="C978" t="s">
        <v>38</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37</v>
      </c>
      <c r="C988" t="s">
        <v>39</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37</v>
      </c>
      <c r="C989" t="s">
        <v>38</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36</v>
      </c>
      <c r="C990" t="s">
        <v>39</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8899B2BC-DE81-4E53-8782-A04B72ADEE1D}"/>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27090-4473-45E2-AF88-2C16BD65FC9C}">
  <dimension ref="A1:O47"/>
  <sheetViews>
    <sheetView topLeftCell="A35" workbookViewId="0">
      <selection activeCell="O47" sqref="O47"/>
    </sheetView>
  </sheetViews>
  <sheetFormatPr defaultRowHeight="14.5" x14ac:dyDescent="0.35"/>
  <cols>
    <col min="1" max="1" width="21.54296875" bestFit="1" customWidth="1"/>
    <col min="2" max="2" width="15.26953125" bestFit="1" customWidth="1"/>
    <col min="3" max="3" width="3.6328125" bestFit="1" customWidth="1"/>
    <col min="4" max="4" width="10.7265625" bestFit="1" customWidth="1"/>
  </cols>
  <sheetData>
    <row r="1" spans="1:4" x14ac:dyDescent="0.35">
      <c r="A1" s="4" t="s">
        <v>41</v>
      </c>
      <c r="B1" s="4" t="s">
        <v>44</v>
      </c>
    </row>
    <row r="2" spans="1:4" x14ac:dyDescent="0.35">
      <c r="A2" s="4" t="s">
        <v>42</v>
      </c>
      <c r="B2" t="s">
        <v>18</v>
      </c>
      <c r="C2" t="s">
        <v>15</v>
      </c>
      <c r="D2" t="s">
        <v>43</v>
      </c>
    </row>
    <row r="3" spans="1:4" x14ac:dyDescent="0.35">
      <c r="A3" s="5" t="s">
        <v>38</v>
      </c>
      <c r="B3" s="7">
        <v>66666.666666666672</v>
      </c>
      <c r="C3" s="7">
        <v>35000</v>
      </c>
      <c r="D3" s="7">
        <v>48571.428571428572</v>
      </c>
    </row>
    <row r="4" spans="1:4" x14ac:dyDescent="0.35">
      <c r="A4" s="5" t="s">
        <v>39</v>
      </c>
      <c r="B4" s="7">
        <v>22500</v>
      </c>
      <c r="C4" s="7">
        <v>33333.333333333336</v>
      </c>
      <c r="D4" s="7">
        <v>30000</v>
      </c>
    </row>
    <row r="5" spans="1:4" x14ac:dyDescent="0.35">
      <c r="A5" s="5" t="s">
        <v>43</v>
      </c>
      <c r="B5" s="7">
        <v>41428.571428571428</v>
      </c>
      <c r="C5" s="7">
        <v>33846.153846153844</v>
      </c>
      <c r="D5" s="7">
        <v>36500</v>
      </c>
    </row>
    <row r="24" spans="1:4" x14ac:dyDescent="0.35">
      <c r="A24" s="4" t="s">
        <v>45</v>
      </c>
      <c r="B24" s="4" t="s">
        <v>44</v>
      </c>
    </row>
    <row r="25" spans="1:4" x14ac:dyDescent="0.35">
      <c r="A25" s="4" t="s">
        <v>42</v>
      </c>
      <c r="B25" t="s">
        <v>18</v>
      </c>
      <c r="C25" t="s">
        <v>15</v>
      </c>
      <c r="D25" t="s">
        <v>43</v>
      </c>
    </row>
    <row r="26" spans="1:4" x14ac:dyDescent="0.35">
      <c r="A26" s="5" t="s">
        <v>16</v>
      </c>
      <c r="B26" s="6">
        <v>3</v>
      </c>
      <c r="C26" s="6">
        <v>11</v>
      </c>
      <c r="D26" s="6">
        <v>14</v>
      </c>
    </row>
    <row r="27" spans="1:4" x14ac:dyDescent="0.35">
      <c r="A27" s="5" t="s">
        <v>26</v>
      </c>
      <c r="B27" s="6">
        <v>1</v>
      </c>
      <c r="C27" s="6">
        <v>2</v>
      </c>
      <c r="D27" s="6">
        <v>3</v>
      </c>
    </row>
    <row r="28" spans="1:4" x14ac:dyDescent="0.35">
      <c r="A28" s="5" t="s">
        <v>22</v>
      </c>
      <c r="B28" s="6">
        <v>1</v>
      </c>
      <c r="C28" s="6"/>
      <c r="D28" s="6">
        <v>1</v>
      </c>
    </row>
    <row r="29" spans="1:4" x14ac:dyDescent="0.35">
      <c r="A29" s="5" t="s">
        <v>46</v>
      </c>
      <c r="B29" s="6">
        <v>2</v>
      </c>
      <c r="C29" s="6"/>
      <c r="D29" s="6">
        <v>2</v>
      </c>
    </row>
    <row r="30" spans="1:4" x14ac:dyDescent="0.35">
      <c r="A30" s="5" t="s">
        <v>43</v>
      </c>
      <c r="B30" s="6">
        <v>7</v>
      </c>
      <c r="C30" s="6">
        <v>13</v>
      </c>
      <c r="D30" s="6">
        <v>20</v>
      </c>
    </row>
    <row r="40" spans="1:15" x14ac:dyDescent="0.35">
      <c r="A40" s="4" t="s">
        <v>45</v>
      </c>
      <c r="B40" s="4" t="s">
        <v>44</v>
      </c>
    </row>
    <row r="41" spans="1:15" x14ac:dyDescent="0.35">
      <c r="A41" s="4" t="s">
        <v>42</v>
      </c>
      <c r="B41" t="s">
        <v>18</v>
      </c>
      <c r="C41" t="s">
        <v>15</v>
      </c>
      <c r="D41" t="s">
        <v>43</v>
      </c>
    </row>
    <row r="42" spans="1:15" x14ac:dyDescent="0.35">
      <c r="A42" s="5" t="s">
        <v>47</v>
      </c>
      <c r="B42" s="6">
        <v>4</v>
      </c>
      <c r="C42" s="6">
        <v>12</v>
      </c>
      <c r="D42" s="6">
        <v>16</v>
      </c>
    </row>
    <row r="43" spans="1:15" x14ac:dyDescent="0.35">
      <c r="A43" s="5" t="s">
        <v>48</v>
      </c>
      <c r="B43" s="6">
        <v>3</v>
      </c>
      <c r="C43" s="6">
        <v>1</v>
      </c>
      <c r="D43" s="6">
        <v>4</v>
      </c>
    </row>
    <row r="44" spans="1:15" x14ac:dyDescent="0.35">
      <c r="A44" s="5" t="s">
        <v>43</v>
      </c>
      <c r="B44" s="6">
        <v>7</v>
      </c>
      <c r="C44" s="6">
        <v>13</v>
      </c>
      <c r="D44" s="6">
        <v>20</v>
      </c>
    </row>
    <row r="47" spans="1:15" x14ac:dyDescent="0.35">
      <c r="O47" t="s">
        <v>50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DCCB95-89B7-465C-888A-0D79EA720943}">
  <dimension ref="A1:S6"/>
  <sheetViews>
    <sheetView showGridLines="0" zoomScale="52" workbookViewId="0">
      <selection activeCell="V14" sqref="V14"/>
    </sheetView>
  </sheetViews>
  <sheetFormatPr defaultRowHeight="14.5" x14ac:dyDescent="0.35"/>
  <sheetData>
    <row r="1" spans="1:19" ht="14.5" customHeight="1" x14ac:dyDescent="0.35">
      <c r="A1" s="8" t="s">
        <v>49</v>
      </c>
      <c r="B1" s="8"/>
      <c r="C1" s="8"/>
      <c r="D1" s="8"/>
      <c r="E1" s="8"/>
      <c r="F1" s="8"/>
      <c r="G1" s="8"/>
      <c r="H1" s="8"/>
      <c r="I1" s="8"/>
      <c r="J1" s="8"/>
      <c r="K1" s="8"/>
      <c r="L1" s="8"/>
      <c r="M1" s="8"/>
      <c r="N1" s="8"/>
      <c r="O1" s="8"/>
      <c r="P1" s="8"/>
      <c r="Q1" s="8"/>
      <c r="R1" s="9"/>
      <c r="S1" s="9"/>
    </row>
    <row r="2" spans="1:19" ht="14.5" customHeight="1" x14ac:dyDescent="0.35">
      <c r="A2" s="8"/>
      <c r="B2" s="8"/>
      <c r="C2" s="8"/>
      <c r="D2" s="8"/>
      <c r="E2" s="8"/>
      <c r="F2" s="8"/>
      <c r="G2" s="8"/>
      <c r="H2" s="8"/>
      <c r="I2" s="8"/>
      <c r="J2" s="8"/>
      <c r="K2" s="8"/>
      <c r="L2" s="8"/>
      <c r="M2" s="8"/>
      <c r="N2" s="8"/>
      <c r="O2" s="8"/>
      <c r="P2" s="8"/>
      <c r="Q2" s="8"/>
      <c r="R2" s="9"/>
      <c r="S2" s="9"/>
    </row>
    <row r="3" spans="1:19" ht="14.5" customHeight="1" x14ac:dyDescent="0.35">
      <c r="A3" s="8"/>
      <c r="B3" s="8"/>
      <c r="C3" s="8"/>
      <c r="D3" s="8"/>
      <c r="E3" s="8"/>
      <c r="F3" s="8"/>
      <c r="G3" s="8"/>
      <c r="H3" s="8"/>
      <c r="I3" s="8"/>
      <c r="J3" s="8"/>
      <c r="K3" s="8"/>
      <c r="L3" s="8"/>
      <c r="M3" s="8"/>
      <c r="N3" s="8"/>
      <c r="O3" s="8"/>
      <c r="P3" s="8"/>
      <c r="Q3" s="8"/>
      <c r="R3" s="9"/>
      <c r="S3" s="9"/>
    </row>
    <row r="4" spans="1:19" ht="14.5" customHeight="1" x14ac:dyDescent="0.35">
      <c r="A4" s="8"/>
      <c r="B4" s="8"/>
      <c r="C4" s="8"/>
      <c r="D4" s="8"/>
      <c r="E4" s="8"/>
      <c r="F4" s="8"/>
      <c r="G4" s="8"/>
      <c r="H4" s="8"/>
      <c r="I4" s="8"/>
      <c r="J4" s="8"/>
      <c r="K4" s="8"/>
      <c r="L4" s="8"/>
      <c r="M4" s="8"/>
      <c r="N4" s="8"/>
      <c r="O4" s="8"/>
      <c r="P4" s="8"/>
      <c r="Q4" s="8"/>
      <c r="R4" s="9"/>
      <c r="S4" s="9"/>
    </row>
    <row r="5" spans="1:19" ht="14.5" customHeight="1" x14ac:dyDescent="0.35">
      <c r="A5" s="8"/>
      <c r="B5" s="8"/>
      <c r="C5" s="8"/>
      <c r="D5" s="8"/>
      <c r="E5" s="8"/>
      <c r="F5" s="8"/>
      <c r="G5" s="8"/>
      <c r="H5" s="8"/>
      <c r="I5" s="8"/>
      <c r="J5" s="8"/>
      <c r="K5" s="8"/>
      <c r="L5" s="8"/>
      <c r="M5" s="8"/>
      <c r="N5" s="8"/>
      <c r="O5" s="8"/>
      <c r="P5" s="8"/>
      <c r="Q5" s="8"/>
      <c r="R5" s="9"/>
      <c r="S5" s="9"/>
    </row>
    <row r="6" spans="1:19" ht="14.5" customHeight="1" x14ac:dyDescent="0.35">
      <c r="A6" s="8"/>
      <c r="B6" s="8"/>
      <c r="C6" s="8"/>
      <c r="D6" s="8"/>
      <c r="E6" s="8"/>
      <c r="F6" s="8"/>
      <c r="G6" s="8"/>
      <c r="H6" s="8"/>
      <c r="I6" s="8"/>
      <c r="J6" s="8"/>
      <c r="K6" s="8"/>
      <c r="L6" s="8"/>
      <c r="M6" s="8"/>
      <c r="N6" s="8"/>
      <c r="O6" s="8"/>
      <c r="P6" s="8"/>
      <c r="Q6" s="8"/>
      <c r="R6" s="9"/>
      <c r="S6" s="9"/>
    </row>
  </sheetData>
  <mergeCells count="1">
    <mergeCell ref="A1:Q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NGOCNT</dc:creator>
  <cp:lastModifiedBy>Tue Nguyen</cp:lastModifiedBy>
  <dcterms:created xsi:type="dcterms:W3CDTF">2022-03-18T02:50:57Z</dcterms:created>
  <dcterms:modified xsi:type="dcterms:W3CDTF">2025-11-21T22:50:53Z</dcterms:modified>
</cp:coreProperties>
</file>
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publishItems="1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13_ncr:1_{85F9A404-64ED-4A59-817F-D0719EF2C843}" xr6:coauthVersionLast="47" xr6:coauthVersionMax="47" xr10:uidLastSave="{00000000-0000-0000-0000-000000000000}"/>
  <bookViews>
    <workbookView xWindow="-110" yWindow="-110" windowWidth="19420" windowHeight="10300" activeTab="2" xr2:uid="{EA944FB1-DE3F-40F9-BBAA-0980B1568DEE}"/>
  </bookViews>
  <sheets>
    <sheet name="Data" sheetId="16" r:id="rId1"/>
    <sheet name="Data Prep" sheetId="22" r:id="rId2"/>
    <sheet name="Dashboard" sheetId="24" r:id="rId3"/>
    <sheet name="New Data (Aug 2021)" sheetId="21" r:id="rId4"/>
    <sheet name="New Data (Sep 2021)" sheetId="18" r:id="rId5"/>
  </sheets>
  <definedNames>
    <definedName name="_xlnm._FilterDatabase" localSheetId="0" hidden="1">Data!$A$1:$J$4795</definedName>
    <definedName name="_xlnm._FilterDatabase" localSheetId="1" hidden="1">'Data Prep'!$G$2:$J$14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8" i="22" l="1"/>
  <c r="J2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9" i="22" l="1"/>
  <c r="B13" i="22" s="1"/>
  <c r="E6" i="24" s="1"/>
  <c r="B10" i="22"/>
  <c r="I2" i="22" s="1"/>
  <c r="K4" i="22" l="1"/>
  <c r="K13" i="22"/>
  <c r="K5" i="22"/>
  <c r="K14" i="22"/>
  <c r="K12" i="22"/>
  <c r="K6" i="22"/>
  <c r="K3" i="22"/>
  <c r="K7" i="22"/>
  <c r="K8" i="22"/>
  <c r="AB16" i="22"/>
  <c r="AB22" i="22"/>
  <c r="AB31" i="22"/>
  <c r="AB28" i="22"/>
  <c r="AB8" i="22"/>
  <c r="AB9" i="22"/>
  <c r="AB21" i="22"/>
  <c r="AB20" i="22"/>
  <c r="AB35" i="22"/>
  <c r="AB6" i="22"/>
  <c r="AB34" i="22"/>
  <c r="AB23" i="22"/>
  <c r="AB17" i="22"/>
  <c r="AB12" i="22"/>
  <c r="AB19" i="22"/>
  <c r="AB3" i="22"/>
  <c r="AB5" i="22"/>
  <c r="AB27" i="22"/>
  <c r="AB26" i="22"/>
  <c r="AB15" i="22"/>
  <c r="AB36" i="22"/>
  <c r="AB32" i="22"/>
  <c r="AB13" i="22"/>
  <c r="AB18" i="22"/>
  <c r="AB33" i="22"/>
  <c r="AB7" i="22"/>
  <c r="AB24" i="22"/>
  <c r="AB14" i="22"/>
  <c r="AB4" i="22"/>
  <c r="AB10" i="22"/>
  <c r="AB25" i="22"/>
  <c r="AB11" i="22"/>
  <c r="AB30" i="22"/>
  <c r="AB29" i="22"/>
  <c r="N3" i="22"/>
  <c r="N12" i="22"/>
  <c r="N8" i="22"/>
  <c r="N5" i="22"/>
  <c r="N9" i="22"/>
  <c r="N10" i="22"/>
  <c r="N11" i="22"/>
  <c r="N4" i="22"/>
  <c r="N6" i="22"/>
  <c r="N7" i="22"/>
  <c r="AY6" i="16"/>
  <c r="J6" i="22"/>
  <c r="J14" i="22"/>
  <c r="J7" i="22"/>
  <c r="J3" i="22"/>
  <c r="J8" i="22"/>
  <c r="J9" i="22"/>
  <c r="K9" i="22" s="1"/>
  <c r="J5" i="22"/>
  <c r="J10" i="22"/>
  <c r="K10" i="22" s="1"/>
  <c r="J4" i="22"/>
  <c r="J11" i="22"/>
  <c r="K11" i="22" s="1"/>
  <c r="J12" i="22"/>
  <c r="J13" i="22"/>
  <c r="I7" i="22"/>
  <c r="I11" i="22"/>
  <c r="I10" i="22"/>
  <c r="I12" i="22"/>
  <c r="I13" i="22"/>
  <c r="I3" i="22"/>
  <c r="I8" i="22"/>
  <c r="I9" i="22"/>
  <c r="I4" i="22"/>
  <c r="I5" i="22"/>
  <c r="I14" i="22"/>
  <c r="I6" i="22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B11" i="22"/>
  <c r="E3" i="22"/>
  <c r="E2" i="22"/>
  <c r="B12" i="22"/>
  <c r="Q4" i="22" l="1"/>
  <c r="AC4" i="22"/>
  <c r="AD4" i="22" s="1"/>
  <c r="AC31" i="22"/>
  <c r="AC13" i="22"/>
  <c r="AD13" i="22" s="1"/>
  <c r="AC12" i="22"/>
  <c r="AD12" i="22" s="1"/>
  <c r="AC27" i="22"/>
  <c r="AD27" i="22" s="1"/>
  <c r="AC9" i="22"/>
  <c r="AD9" i="22" s="1"/>
  <c r="AC30" i="22"/>
  <c r="AD30" i="22" s="1"/>
  <c r="AC3" i="22"/>
  <c r="AD3" i="22" s="1"/>
  <c r="AC19" i="22"/>
  <c r="AD19" i="22" s="1"/>
  <c r="AC7" i="22"/>
  <c r="AD7" i="22" s="1"/>
  <c r="AC14" i="22"/>
  <c r="AD14" i="22" s="1"/>
  <c r="AC16" i="22"/>
  <c r="AD16" i="22" s="1"/>
  <c r="AC21" i="22"/>
  <c r="AD21" i="22" s="1"/>
  <c r="AC11" i="22"/>
  <c r="AD11" i="22" s="1"/>
  <c r="AC6" i="22"/>
  <c r="AD6" i="22" s="1"/>
  <c r="AC36" i="22"/>
  <c r="AD36" i="22" s="1"/>
  <c r="AC28" i="22"/>
  <c r="AD28" i="22" s="1"/>
  <c r="AC23" i="22"/>
  <c r="AD23" i="22" s="1"/>
  <c r="AC18" i="22"/>
  <c r="AD18" i="22" s="1"/>
  <c r="AC22" i="22"/>
  <c r="AD22" i="22" s="1"/>
  <c r="AC26" i="22"/>
  <c r="AD26" i="22" s="1"/>
  <c r="AC5" i="22"/>
  <c r="AD5" i="22" s="1"/>
  <c r="AC25" i="22"/>
  <c r="AD25" i="22" s="1"/>
  <c r="AC32" i="22"/>
  <c r="AD32" i="22" s="1"/>
  <c r="AC17" i="22"/>
  <c r="AD17" i="22" s="1"/>
  <c r="AC35" i="22"/>
  <c r="AD35" i="22" s="1"/>
  <c r="AC24" i="22"/>
  <c r="AD24" i="22" s="1"/>
  <c r="AC15" i="22"/>
  <c r="AD15" i="22" s="1"/>
  <c r="AC10" i="22"/>
  <c r="AD10" i="22" s="1"/>
  <c r="AC33" i="22"/>
  <c r="AD33" i="22" s="1"/>
  <c r="AC29" i="22"/>
  <c r="AD29" i="22" s="1"/>
  <c r="AC8" i="22"/>
  <c r="AD8" i="22" s="1"/>
  <c r="AC20" i="22"/>
  <c r="AD20" i="22" s="1"/>
  <c r="AC34" i="22"/>
  <c r="AD34" i="22" s="1"/>
  <c r="AD31" i="22"/>
  <c r="Q11" i="22"/>
  <c r="Q10" i="22"/>
  <c r="Q9" i="22"/>
  <c r="Q5" i="22"/>
  <c r="Q8" i="22"/>
  <c r="Q7" i="22"/>
  <c r="Q12" i="22"/>
  <c r="Q6" i="22"/>
  <c r="Q3" i="22"/>
  <c r="O3" i="22"/>
  <c r="P3" i="22" s="1"/>
  <c r="O12" i="22"/>
  <c r="P12" i="22" s="1"/>
  <c r="O8" i="22"/>
  <c r="P8" i="22" s="1"/>
  <c r="O7" i="22"/>
  <c r="P7" i="22" s="1"/>
  <c r="O5" i="22"/>
  <c r="P5" i="22" s="1"/>
  <c r="O4" i="22"/>
  <c r="P4" i="22" s="1"/>
  <c r="O9" i="22"/>
  <c r="P9" i="22" s="1"/>
  <c r="O10" i="22"/>
  <c r="P10" i="22" s="1"/>
  <c r="O6" i="22"/>
  <c r="P6" i="22" s="1"/>
  <c r="O11" i="22"/>
  <c r="P11" i="22" s="1"/>
  <c r="E4" i="22"/>
  <c r="E6" i="22" s="1"/>
  <c r="B19" i="24" s="1"/>
  <c r="E5" i="22"/>
  <c r="C19" i="24" s="1"/>
  <c r="AF22" i="22" l="1"/>
  <c r="AE22" i="22"/>
  <c r="AE18" i="22"/>
  <c r="AF18" i="22"/>
  <c r="AF13" i="22"/>
  <c r="AE13" i="22"/>
  <c r="AE25" i="22"/>
  <c r="AF25" i="22"/>
  <c r="AF11" i="22"/>
  <c r="AE11" i="22"/>
  <c r="AE10" i="22"/>
  <c r="AF10" i="22"/>
  <c r="AE15" i="22"/>
  <c r="AF15" i="22"/>
  <c r="AF34" i="22"/>
  <c r="AE34" i="22"/>
  <c r="AF23" i="22"/>
  <c r="AE23" i="22"/>
  <c r="AE7" i="22"/>
  <c r="AF7" i="22"/>
  <c r="AF33" i="22"/>
  <c r="AE33" i="22"/>
  <c r="AE19" i="22"/>
  <c r="AE9" i="22"/>
  <c r="AF9" i="22"/>
  <c r="AF17" i="22"/>
  <c r="AE17" i="22"/>
  <c r="AE28" i="22"/>
  <c r="AF28" i="22"/>
  <c r="AF4" i="22"/>
  <c r="AE4" i="22"/>
  <c r="AE8" i="22"/>
  <c r="AF8" i="22"/>
  <c r="AF32" i="22"/>
  <c r="AE32" i="22"/>
  <c r="AF36" i="22"/>
  <c r="AE36" i="22"/>
  <c r="AE3" i="22"/>
  <c r="AF3" i="22"/>
  <c r="AF20" i="22"/>
  <c r="AE20" i="22"/>
  <c r="AF29" i="22"/>
  <c r="AE29" i="22"/>
  <c r="AF6" i="22"/>
  <c r="AE6" i="22"/>
  <c r="AE30" i="22"/>
  <c r="AF30" i="22"/>
  <c r="AF31" i="22"/>
  <c r="AE31" i="22"/>
  <c r="AF5" i="22"/>
  <c r="AE5" i="22"/>
  <c r="AF19" i="22"/>
  <c r="AF21" i="22"/>
  <c r="AE21" i="22"/>
  <c r="AE27" i="22"/>
  <c r="AF27" i="22"/>
  <c r="AF35" i="22"/>
  <c r="AE35" i="22"/>
  <c r="AF12" i="22"/>
  <c r="AE12" i="22"/>
  <c r="AE26" i="22"/>
  <c r="AF26" i="22"/>
  <c r="AE24" i="22"/>
  <c r="AF24" i="22"/>
  <c r="AF14" i="22"/>
  <c r="AE14" i="22"/>
  <c r="AF16" i="22"/>
  <c r="AE16" i="22"/>
  <c r="V8" i="22"/>
  <c r="W6" i="22"/>
  <c r="V11" i="22"/>
  <c r="T8" i="22"/>
  <c r="U8" i="22" s="1"/>
  <c r="W10" i="22"/>
  <c r="V3" i="22"/>
  <c r="V7" i="22"/>
  <c r="W11" i="22"/>
  <c r="T9" i="22"/>
  <c r="U9" i="22" s="1"/>
  <c r="V6" i="22"/>
  <c r="W3" i="22"/>
  <c r="W7" i="22"/>
  <c r="V12" i="22"/>
  <c r="T10" i="22"/>
  <c r="U10" i="22" s="1"/>
  <c r="V10" i="22"/>
  <c r="V4" i="22"/>
  <c r="W8" i="22"/>
  <c r="W12" i="22"/>
  <c r="T11" i="22"/>
  <c r="U11" i="22" s="1"/>
  <c r="T7" i="22"/>
  <c r="U7" i="22" s="1"/>
  <c r="W4" i="22"/>
  <c r="V9" i="22"/>
  <c r="T4" i="22"/>
  <c r="U4" i="22" s="1"/>
  <c r="T12" i="22"/>
  <c r="U12" i="22" s="1"/>
  <c r="T6" i="22"/>
  <c r="U6" i="22" s="1"/>
  <c r="V5" i="22"/>
  <c r="W9" i="22"/>
  <c r="T5" i="22"/>
  <c r="U5" i="22" s="1"/>
  <c r="T3" i="22"/>
  <c r="U3" i="22" s="1"/>
  <c r="W5" i="22"/>
  <c r="X5" i="22" l="1"/>
  <c r="Y5" i="22"/>
  <c r="Y8" i="22"/>
  <c r="X8" i="22"/>
  <c r="X7" i="22"/>
  <c r="Y7" i="22"/>
  <c r="X11" i="22"/>
  <c r="Y11" i="22"/>
  <c r="X9" i="22"/>
  <c r="Y9" i="22"/>
  <c r="Y6" i="22"/>
  <c r="X6" i="22"/>
  <c r="Y12" i="22"/>
  <c r="X12" i="22"/>
  <c r="X4" i="22"/>
  <c r="Y4" i="22"/>
  <c r="X10" i="22"/>
  <c r="Y10" i="22"/>
  <c r="X3" i="22"/>
  <c r="Y3" i="22"/>
  <c r="AJ15" i="22"/>
  <c r="Q30" i="24" s="1"/>
  <c r="AJ13" i="22"/>
  <c r="Q28" i="24" s="1"/>
  <c r="AK16" i="22"/>
  <c r="R31" i="24" s="1"/>
  <c r="AI13" i="22"/>
  <c r="P28" i="24" s="1"/>
  <c r="AI16" i="22"/>
  <c r="P31" i="24" s="1"/>
  <c r="AK14" i="22"/>
  <c r="R29" i="24" s="1"/>
  <c r="AI12" i="22"/>
  <c r="P27" i="24" s="1"/>
  <c r="AJ16" i="22"/>
  <c r="Q31" i="24" s="1"/>
  <c r="AK13" i="22"/>
  <c r="R28" i="24" s="1"/>
  <c r="AJ14" i="22"/>
  <c r="Q29" i="24" s="1"/>
  <c r="AJ12" i="22"/>
  <c r="Q27" i="24" s="1"/>
  <c r="AJ17" i="22"/>
  <c r="Q32" i="24" s="1"/>
  <c r="AI14" i="22"/>
  <c r="P29" i="24" s="1"/>
  <c r="AK17" i="22"/>
  <c r="R32" i="24" s="1"/>
  <c r="AK15" i="22"/>
  <c r="R30" i="24" s="1"/>
  <c r="AI17" i="22"/>
  <c r="P32" i="24" s="1"/>
  <c r="AK12" i="22"/>
  <c r="R27" i="24" s="1"/>
  <c r="AI15" i="22"/>
  <c r="P30" i="24" s="1"/>
  <c r="AI7" i="22"/>
  <c r="P19" i="24" s="1"/>
  <c r="AJ7" i="22"/>
  <c r="Q19" i="24" s="1"/>
  <c r="AK8" i="22"/>
  <c r="R20" i="24" s="1"/>
  <c r="AI6" i="22"/>
  <c r="P18" i="24" s="1"/>
  <c r="AK3" i="22"/>
  <c r="R15" i="24" s="1"/>
  <c r="AJ5" i="22"/>
  <c r="Q17" i="24" s="1"/>
  <c r="AI8" i="22"/>
  <c r="P20" i="24" s="1"/>
  <c r="AK7" i="22"/>
  <c r="R19" i="24" s="1"/>
  <c r="AJ8" i="22"/>
  <c r="Q20" i="24" s="1"/>
  <c r="AJ6" i="22"/>
  <c r="Q18" i="24" s="1"/>
  <c r="AK5" i="22"/>
  <c r="R17" i="24" s="1"/>
  <c r="AI3" i="22"/>
  <c r="P15" i="24" s="1"/>
  <c r="AI5" i="22"/>
  <c r="P17" i="24" s="1"/>
  <c r="AJ3" i="22"/>
  <c r="Q15" i="24" s="1"/>
  <c r="AK6" i="22"/>
  <c r="R18" i="24" s="1"/>
  <c r="AJ4" i="22"/>
  <c r="Q16" i="24" s="1"/>
  <c r="AI4" i="22"/>
  <c r="P16" i="24" s="1"/>
  <c r="AK4" i="22"/>
  <c r="R16" i="24" s="1"/>
  <c r="R21" i="24" l="1"/>
  <c r="R33" i="24"/>
</calcChain>
</file>

<file path=xl/sharedStrings.xml><?xml version="1.0" encoding="utf-8"?>
<sst xmlns="http://schemas.openxmlformats.org/spreadsheetml/2006/main" count="26863" uniqueCount="127">
  <si>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</si>
  <si>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</si>
  <si>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</si>
  <si>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</si>
  <si>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</si>
  <si>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</si>
  <si>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</si>
  <si>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</si>
  <si>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</si>
  <si>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</si>
  <si>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</si>
  <si>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</si>
  <si>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</si>
  <si>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</si>
  <si>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</si>
  <si>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</si>
  <si>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</si>
  <si>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</si>
  <si>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</si>
  <si>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</si>
  <si>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</si>
  <si>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</si>
  <si>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</si>
  <si>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</si>
  <si>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</si>
  <si>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</si>
  <si>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</si>
  <si>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</si>
  <si>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</si>
  <si>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</si>
  <si>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</si>
  <si>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</si>
  <si>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</si>
  <si>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</si>
  <si>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</si>
  <si>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</si>
  <si>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</si>
  <si>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</si>
  <si>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</si>
  <si>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</si>
  <si>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</si>
  <si>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</si>
  <si>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</si>
  <si>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</si>
  <si>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</si>
  <si>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</si>
  <si>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</si>
  <si>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</si>
  <si>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</si>
  <si>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</si>
  <si>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</si>
  <si>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</si>
  <si>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</si>
  <si>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</si>
  <si>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</si>
  <si>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</si>
  <si>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</si>
  <si>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</si>
  <si>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</si>
  <si>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</si>
  <si>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</si>
  <si>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</si>
  <si>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</si>
  <si>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</si>
  <si>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</si>
  <si>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</si>
  <si>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</si>
  <si>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</si>
  <si>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</si>
  <si>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</si>
  <si>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</si>
  <si>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</si>
  <si>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</si>
  <si>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</si>
  <si>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</si>
  <si>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D</t>
  </si>
  <si>
    <t>REGION FILTER</t>
  </si>
  <si>
    <t>Selection</t>
  </si>
  <si>
    <t>DATE FILTER</t>
  </si>
  <si>
    <t>Current Year:</t>
  </si>
  <si>
    <t>Current Month:</t>
  </si>
  <si>
    <t>Previous Year:</t>
  </si>
  <si>
    <t>Previous Month:</t>
  </si>
  <si>
    <t>Total Revenue:</t>
  </si>
  <si>
    <t>KPIs</t>
  </si>
  <si>
    <t>PY Revenue:</t>
  </si>
  <si>
    <t>PM Revenue:</t>
  </si>
  <si>
    <t>PM Year:</t>
  </si>
  <si>
    <r>
      <t>YoY %</t>
    </r>
    <r>
      <rPr>
        <b/>
        <sz val="11"/>
        <color theme="1"/>
        <rFont val="Calibri"/>
        <family val="2"/>
      </rPr>
      <t>Δ:</t>
    </r>
  </si>
  <si>
    <t>MoM %Δ:</t>
  </si>
  <si>
    <t>Month #</t>
  </si>
  <si>
    <t>REVENUE TREND</t>
  </si>
  <si>
    <t>J</t>
  </si>
  <si>
    <t>F</t>
  </si>
  <si>
    <t>A</t>
  </si>
  <si>
    <t>S</t>
  </si>
  <si>
    <t>O</t>
  </si>
  <si>
    <t>N</t>
  </si>
  <si>
    <t>M</t>
  </si>
  <si>
    <t>STORE PERFORMANCE</t>
  </si>
  <si>
    <t>PM Revenue</t>
  </si>
  <si>
    <t>MoM %Δ</t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</si>
  <si>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</si>
  <si>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</si>
  <si>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</si>
  <si>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</si>
  <si>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</si>
  <si>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</si>
  <si>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</si>
  <si>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>TOP PERFORMING PRODUCTS</t>
  </si>
  <si>
    <t>BOTTOM PERFORMING PRODUCTS</t>
  </si>
  <si>
    <r>
      <t xml:space="preserve">MoM Revenue </t>
    </r>
    <r>
      <rPr>
        <b/>
        <sz val="12"/>
        <color theme="1" tint="0.249977111117893"/>
        <rFont val="Calibri"/>
        <family val="2"/>
      </rPr>
      <t>Δ</t>
    </r>
  </si>
  <si>
    <t>How did</t>
  </si>
  <si>
    <t>Current Period: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</si>
  <si>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</si>
  <si>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</si>
  <si>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</si>
  <si>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</si>
  <si>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</si>
  <si>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</si>
  <si>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</si>
  <si>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</si>
  <si>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</si>
  <si>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</si>
  <si>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</si>
  <si>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</si>
  <si>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perform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</si>
</sst>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</font>
    <font>
      <b/>
      <sz val="24"/>
      <color theme="4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3" fillId="5" borderId="0" xfId="0" applyFont="1" applyFill="1" applyAlignment="1">
      <alignment horizontal="centerContinuous"/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7" borderId="0" xfId="0" applyFont="1" applyFill="1" applyAlignment="1">
      <alignment horizontal="centerContinuous"/>
    </xf>
    <xf numFmtId="0" fontId="1" fillId="9" borderId="0" xfId="0" applyFont="1" applyFill="1"/>
    <xf numFmtId="9" fontId="0" fillId="0" borderId="0" xfId="1" applyFont="1"/>
    <xf numFmtId="0" fontId="1" fillId="9" borderId="0" xfId="0" applyFont="1" applyFill="1" applyAlignment="1">
      <alignment horizontal="right"/>
    </xf>
    <xf numFmtId="165" fontId="1" fillId="8" borderId="0" xfId="1" applyNumberFormat="1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6" fillId="0" borderId="1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0" fontId="12" fillId="0" borderId="0" xfId="0" applyFont="1" applyAlignment="1">
      <alignment horizontal="center"/>
    </xf>
    <xf numFmtId="0" fontId="1" fillId="6" borderId="0" xfId="0" applyFont="1" applyFill="1" applyAlignment="1">
      <alignment horizontal="right"/>
    </xf>
    <xf numFmtId="0" fontId="9" fillId="0" borderId="0" xfId="0" applyFont="1"/>
    <xf numFmtId="0" fontId="9" fillId="10" borderId="0" xfId="0" applyFont="1" applyFill="1" applyAlignment="1" applyProtection="1">
      <alignment horizontal="center"/>
      <protection locked="0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FF6565"/>
      <color rgb="FFF98386"/>
      <color rgb="FFF9777A"/>
      <color rgb="FFFF4343"/>
      <color rgb="FFFF9595"/>
      <color rgb="FF20E2D7"/>
      <color rgb="FFF2F2F2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59661158235048"/>
          <c:y val="6.455399061032864E-2"/>
          <c:w val="0.76606147139332903"/>
          <c:h val="0.71594303352925959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26-427E-AAB6-9D3BDBD8BB2E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26-427E-AAB6-9D3BDBD8BB2E}"/>
            </c:ext>
          </c:extLst>
        </c:ser>
        <c:ser>
          <c:idx val="2"/>
          <c:order val="2"/>
          <c:tx>
            <c:strRef>
              <c:f>'Data Prep'!$K$2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F-42FB-B2BE-A9C83F59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321215"/>
        <c:axId val="1421325791"/>
      </c:lineChart>
      <c:catAx>
        <c:axId val="142132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Month</a:t>
                </a:r>
              </a:p>
            </c:rich>
          </c:tx>
          <c:layout>
            <c:manualLayout>
              <c:xMode val="edge"/>
              <c:yMode val="edge"/>
              <c:x val="0.17739487231478041"/>
              <c:y val="0.90678440723078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5791"/>
        <c:crosses val="autoZero"/>
        <c:auto val="1"/>
        <c:lblAlgn val="ctr"/>
        <c:lblOffset val="100"/>
        <c:noMultiLvlLbl val="0"/>
      </c:catAx>
      <c:valAx>
        <c:axId val="1421325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Revenue</a:t>
                </a:r>
              </a:p>
            </c:rich>
          </c:tx>
          <c:layout>
            <c:manualLayout>
              <c:xMode val="edge"/>
              <c:yMode val="edge"/>
              <c:x val="1.704825791625832E-2"/>
              <c:y val="3.05940630660604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1215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1-4313-B1B3-101D772F6EA2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Prep'!$X$3:$X$12</c:f>
              <c:numCache>
                <c:formatCode>"$"#,##0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C25-B777-12EB04C6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24862291869197606"/>
              <c:y val="0.9487781200062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Prep'!$L$3:$L$12</c:f>
              <c:numCache>
                <c:formatCode>General</c:formatCode>
                <c:ptCount val="10"/>
              </c:numCache>
            </c:numRef>
          </c:cat>
          <c:val>
            <c:numRef>
              <c:f>'Data Prep'!$W$3:$W$12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5FF-8BA8-3D8FB1388905}"/>
            </c:ext>
          </c:extLst>
        </c:ser>
        <c:ser>
          <c:idx val="1"/>
          <c:order val="1"/>
          <c:tx>
            <c:strRef>
              <c:f>'Data Prep'!$Y$2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Prep'!$Y$3:$Y$12</c:f>
              <c:numCache>
                <c:formatCode>0%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558-415D-AA9D-6AED2305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;;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 %</a:t>
                </a: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046923712000787"/>
              <c:y val="0.9458291775456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17</xdr:row>
      <xdr:rowOff>108857</xdr:rowOff>
    </xdr:from>
    <xdr:to>
      <xdr:col>2</xdr:col>
      <xdr:colOff>259080</xdr:colOff>
      <xdr:row>19</xdr:row>
      <xdr:rowOff>180703</xdr:rowOff>
    </xdr:to>
    <xdr:sp macro="" textlink="'Data Prep'!$E$6">
      <xdr:nvSpPr>
        <xdr:cNvPr id="14" name="TextBox 13">
          <a:extLst>
            <a:ext uri="{FF2B5EF4-FFF2-40B4-BE49-F238E27FC236}">
              <a16:creationId xmlns:a16="http://schemas.microsoft.com/office/drawing/2014/main" id="{C24C7B92-146E-4ADA-B63E-BF1C944FCF4B}"/>
            </a:ext>
          </a:extLst>
        </xdr:cNvPr>
        <xdr:cNvSpPr txBox="1"/>
      </xdr:nvSpPr>
      <xdr:spPr>
        <a:xfrm>
          <a:off x="59436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DC0D2E-4717-4EBC-B8D8-E7E6670A639D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6.7%</a:t>
          </a:fld>
          <a:endParaRPr lang="en-US" sz="2400"/>
        </a:p>
      </xdr:txBody>
    </xdr:sp>
    <xdr:clientData/>
  </xdr:twoCellAnchor>
  <xdr:twoCellAnchor>
    <xdr:from>
      <xdr:col>2</xdr:col>
      <xdr:colOff>807720</xdr:colOff>
      <xdr:row>17</xdr:row>
      <xdr:rowOff>108857</xdr:rowOff>
    </xdr:from>
    <xdr:to>
      <xdr:col>3</xdr:col>
      <xdr:colOff>190500</xdr:colOff>
      <xdr:row>19</xdr:row>
      <xdr:rowOff>180703</xdr:rowOff>
    </xdr:to>
    <xdr:sp macro="" textlink="'Data Prep'!$E$5">
      <xdr:nvSpPr>
        <xdr:cNvPr id="25" name="TextBox 24">
          <a:extLst>
            <a:ext uri="{FF2B5EF4-FFF2-40B4-BE49-F238E27FC236}">
              <a16:creationId xmlns:a16="http://schemas.microsoft.com/office/drawing/2014/main" id="{6CF9EEAB-11C4-4F12-A8EE-76A4BF70779E}"/>
            </a:ext>
          </a:extLst>
        </xdr:cNvPr>
        <xdr:cNvSpPr txBox="1"/>
      </xdr:nvSpPr>
      <xdr:spPr>
        <a:xfrm>
          <a:off x="224790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228E2B2-E381-4C61-BF78-D0F1EF26FFC5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26.3%</a:t>
          </a:fld>
          <a:endParaRPr lang="en-US" sz="4800"/>
        </a:p>
      </xdr:txBody>
    </xdr:sp>
    <xdr:clientData/>
  </xdr:twoCellAnchor>
  <xdr:twoCellAnchor editAs="absolute">
    <xdr:from>
      <xdr:col>1</xdr:col>
      <xdr:colOff>0</xdr:colOff>
      <xdr:row>0</xdr:row>
      <xdr:rowOff>114300</xdr:rowOff>
    </xdr:from>
    <xdr:to>
      <xdr:col>10</xdr:col>
      <xdr:colOff>266700</xdr:colOff>
      <xdr:row>4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8441C2-C249-466E-A08F-314F034C76ED}"/>
            </a:ext>
          </a:extLst>
        </xdr:cNvPr>
        <xdr:cNvSpPr txBox="1"/>
      </xdr:nvSpPr>
      <xdr:spPr>
        <a:xfrm>
          <a:off x="281940" y="114300"/>
          <a:ext cx="6903720" cy="662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tx1">
                  <a:lumMod val="75000"/>
                  <a:lumOff val="25000"/>
                </a:schemeClr>
              </a:solidFill>
            </a:rPr>
            <a:t>REGIONAL REVENUE DASHBOARD</a:t>
          </a:r>
        </a:p>
      </xdr:txBody>
    </xdr:sp>
    <xdr:clientData/>
  </xdr:twoCellAnchor>
  <xdr:twoCellAnchor editAs="absolute">
    <xdr:from>
      <xdr:col>0</xdr:col>
      <xdr:colOff>274320</xdr:colOff>
      <xdr:row>7</xdr:row>
      <xdr:rowOff>91440</xdr:rowOff>
    </xdr:from>
    <xdr:to>
      <xdr:col>18</xdr:col>
      <xdr:colOff>22860</xdr:colOff>
      <xdr:row>7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257352-05E2-4C34-8C55-894D3AD5D8AB}"/>
            </a:ext>
          </a:extLst>
        </xdr:cNvPr>
        <xdr:cNvCxnSpPr/>
      </xdr:nvCxnSpPr>
      <xdr:spPr>
        <a:xfrm>
          <a:off x="274320" y="1501140"/>
          <a:ext cx="13548360" cy="0"/>
        </a:xfrm>
        <a:prstGeom prst="line">
          <a:avLst/>
        </a:prstGeom>
        <a:ln w="1905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19050</xdr:colOff>
      <xdr:row>9</xdr:row>
      <xdr:rowOff>137160</xdr:rowOff>
    </xdr:from>
    <xdr:to>
      <xdr:col>3</xdr:col>
      <xdr:colOff>369570</xdr:colOff>
      <xdr:row>11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8AA2-25D1-4F1A-9FDE-926955439A3A}"/>
            </a:ext>
          </a:extLst>
        </xdr:cNvPr>
        <xdr:cNvSpPr txBox="1"/>
      </xdr:nvSpPr>
      <xdr:spPr>
        <a:xfrm>
          <a:off x="300990" y="1912620"/>
          <a:ext cx="323088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 was the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revenue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we drove in...</a:t>
          </a:r>
        </a:p>
      </xdr:txBody>
    </xdr:sp>
    <xdr:clientData/>
  </xdr:twoCellAnchor>
  <xdr:twoCellAnchor editAs="absolute">
    <xdr:from>
      <xdr:col>1</xdr:col>
      <xdr:colOff>116584</xdr:colOff>
      <xdr:row>19</xdr:row>
      <xdr:rowOff>91440</xdr:rowOff>
    </xdr:from>
    <xdr:to>
      <xdr:col>2</xdr:col>
      <xdr:colOff>459484</xdr:colOff>
      <xdr:row>20</xdr:row>
      <xdr:rowOff>198120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A417E1-D5F8-4855-BE4B-9D58DF7EBD1C}"/>
            </a:ext>
          </a:extLst>
        </xdr:cNvPr>
        <xdr:cNvSpPr txBox="1"/>
      </xdr:nvSpPr>
      <xdr:spPr>
        <a:xfrm>
          <a:off x="398524" y="3954780"/>
          <a:ext cx="15011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 Last Month</a:t>
          </a:r>
        </a:p>
      </xdr:txBody>
    </xdr:sp>
    <xdr:clientData/>
  </xdr:twoCellAnchor>
  <xdr:twoCellAnchor editAs="absolute">
    <xdr:from>
      <xdr:col>2</xdr:col>
      <xdr:colOff>619636</xdr:colOff>
      <xdr:row>19</xdr:row>
      <xdr:rowOff>91440</xdr:rowOff>
    </xdr:from>
    <xdr:to>
      <xdr:col>3</xdr:col>
      <xdr:colOff>398656</xdr:colOff>
      <xdr:row>20</xdr:row>
      <xdr:rowOff>198120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0185DA-7ADC-4D39-8624-DEDD0D2C34BC}"/>
            </a:ext>
          </a:extLst>
        </xdr:cNvPr>
        <xdr:cNvSpPr txBox="1"/>
      </xdr:nvSpPr>
      <xdr:spPr>
        <a:xfrm>
          <a:off x="2059816" y="3954780"/>
          <a:ext cx="150114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</a:t>
          </a:r>
          <a:r>
            <a:rPr lang="en-US" sz="1100" b="0" baseline="0">
              <a:solidFill>
                <a:schemeClr val="tx1">
                  <a:lumMod val="75000"/>
                  <a:lumOff val="25000"/>
                </a:schemeClr>
              </a:solidFill>
            </a:rPr>
            <a:t> Last Year</a:t>
          </a:r>
          <a:endParaRPr lang="en-US" sz="11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266700</xdr:colOff>
      <xdr:row>22</xdr:row>
      <xdr:rowOff>45720</xdr:rowOff>
    </xdr:from>
    <xdr:to>
      <xdr:col>3</xdr:col>
      <xdr:colOff>723900</xdr:colOff>
      <xdr:row>23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AADA9F-5662-4360-B8AF-DAE6BFFC4B40}"/>
            </a:ext>
          </a:extLst>
        </xdr:cNvPr>
        <xdr:cNvSpPr txBox="1"/>
      </xdr:nvSpPr>
      <xdr:spPr>
        <a:xfrm>
          <a:off x="266700" y="4617720"/>
          <a:ext cx="3619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 revenue trend in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vs </a:t>
          </a:r>
          <a:r>
            <a:rPr lang="en-US" sz="1600" b="1">
              <a:solidFill>
                <a:schemeClr val="accent3"/>
              </a:solidFill>
            </a:rPr>
            <a:t>2020</a:t>
          </a:r>
        </a:p>
      </xdr:txBody>
    </xdr:sp>
    <xdr:clientData/>
  </xdr:twoCellAnchor>
  <xdr:twoCellAnchor editAs="absolute">
    <xdr:from>
      <xdr:col>3</xdr:col>
      <xdr:colOff>1173480</xdr:colOff>
      <xdr:row>9</xdr:row>
      <xdr:rowOff>129540</xdr:rowOff>
    </xdr:from>
    <xdr:to>
      <xdr:col>13</xdr:col>
      <xdr:colOff>266700</xdr:colOff>
      <xdr:row>11</xdr:row>
      <xdr:rowOff>106680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C6D4C6-B562-4642-B5FB-407590E65906}"/>
            </a:ext>
          </a:extLst>
        </xdr:cNvPr>
        <xdr:cNvSpPr txBox="1"/>
      </xdr:nvSpPr>
      <xdr:spPr>
        <a:xfrm>
          <a:off x="4335780" y="1905000"/>
          <a:ext cx="53340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is how 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our stores 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rank compared to </a:t>
          </a:r>
          <a:r>
            <a:rPr lang="en-US" sz="1600" b="1" baseline="0">
              <a:solidFill>
                <a:schemeClr val="accent3"/>
              </a:solidFill>
            </a:rPr>
            <a:t>other regions</a:t>
          </a:r>
          <a:endParaRPr lang="en-US" sz="1600" b="1">
            <a:solidFill>
              <a:schemeClr val="accent3"/>
            </a:solidFill>
          </a:endParaRPr>
        </a:p>
      </xdr:txBody>
    </xdr:sp>
    <xdr:clientData/>
  </xdr:twoCellAnchor>
  <xdr:twoCellAnchor editAs="absolute">
    <xdr:from>
      <xdr:col>14</xdr:col>
      <xdr:colOff>304800</xdr:colOff>
      <xdr:row>9</xdr:row>
      <xdr:rowOff>152400</xdr:rowOff>
    </xdr:from>
    <xdr:to>
      <xdr:col>18</xdr:col>
      <xdr:colOff>76200</xdr:colOff>
      <xdr:row>11</xdr:row>
      <xdr:rowOff>129540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904153-02B7-449A-BB61-A4CA8D9248E5}"/>
            </a:ext>
          </a:extLst>
        </xdr:cNvPr>
        <xdr:cNvSpPr txBox="1"/>
      </xdr:nvSpPr>
      <xdr:spPr>
        <a:xfrm>
          <a:off x="10157460" y="192786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Where these products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6">
                  <a:lumMod val="75000"/>
                </a:schemeClr>
              </a:solidFill>
            </a:rPr>
            <a:t>drove growth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...</a:t>
          </a:r>
          <a:endParaRPr lang="en-US" sz="16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350520</xdr:colOff>
      <xdr:row>22</xdr:row>
      <xdr:rowOff>167640</xdr:rowOff>
    </xdr:from>
    <xdr:to>
      <xdr:col>18</xdr:col>
      <xdr:colOff>121920</xdr:colOff>
      <xdr:row>24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972FD9-4A81-4E14-A96B-296F1541F09F}"/>
            </a:ext>
          </a:extLst>
        </xdr:cNvPr>
        <xdr:cNvSpPr txBox="1"/>
      </xdr:nvSpPr>
      <xdr:spPr>
        <a:xfrm>
          <a:off x="10203180" y="473964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these products </a:t>
          </a:r>
          <a:r>
            <a:rPr lang="en-US" sz="1600" b="1">
              <a:solidFill>
                <a:srgbClr val="C00000"/>
              </a:solidFill>
            </a:rPr>
            <a:t>caused losses</a:t>
          </a:r>
        </a:p>
      </xdr:txBody>
    </xdr:sp>
    <xdr:clientData/>
  </xdr:twoCellAnchor>
  <xdr:twoCellAnchor editAs="absolute">
    <xdr:from>
      <xdr:col>1</xdr:col>
      <xdr:colOff>15240</xdr:colOff>
      <xdr:row>24</xdr:row>
      <xdr:rowOff>68580</xdr:rowOff>
    </xdr:from>
    <xdr:to>
      <xdr:col>3</xdr:col>
      <xdr:colOff>358140</xdr:colOff>
      <xdr:row>33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9054D26-551C-44A5-A726-062A580A05FC}"/>
            </a:ext>
          </a:extLst>
        </xdr:cNvPr>
        <xdr:cNvSpPr/>
      </xdr:nvSpPr>
      <xdr:spPr>
        <a:xfrm>
          <a:off x="297180" y="5113020"/>
          <a:ext cx="3223260" cy="1996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0</xdr:colOff>
      <xdr:row>12</xdr:row>
      <xdr:rowOff>0</xdr:rowOff>
    </xdr:from>
    <xdr:to>
      <xdr:col>3</xdr:col>
      <xdr:colOff>388620</xdr:colOff>
      <xdr:row>16</xdr:row>
      <xdr:rowOff>228600</xdr:rowOff>
    </xdr:to>
    <xdr:sp macro="" textlink="'Data Prep'!E2">
      <xdr:nvSpPr>
        <xdr:cNvPr id="20" name="TextBox 19">
          <a:extLst>
            <a:ext uri="{FF2B5EF4-FFF2-40B4-BE49-F238E27FC236}">
              <a16:creationId xmlns:a16="http://schemas.microsoft.com/office/drawing/2014/main" id="{FD362C6B-11A5-4747-9FC3-2DA640436C67}"/>
            </a:ext>
          </a:extLst>
        </xdr:cNvPr>
        <xdr:cNvSpPr txBox="1"/>
      </xdr:nvSpPr>
      <xdr:spPr>
        <a:xfrm>
          <a:off x="281940" y="2324100"/>
          <a:ext cx="326898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FC15EEA-0C3C-45AA-8A6C-01003E4F4BE8}" type="TxLink">
            <a:rPr lang="en-US" sz="6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$44,041</a:t>
          </a:fld>
          <a:endParaRPr lang="en-US" sz="16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91440</xdr:colOff>
      <xdr:row>17</xdr:row>
      <xdr:rowOff>68580</xdr:rowOff>
    </xdr:from>
    <xdr:to>
      <xdr:col>3</xdr:col>
      <xdr:colOff>297180</xdr:colOff>
      <xdr:row>17</xdr:row>
      <xdr:rowOff>68580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9CF4445-D03E-42D0-9813-033996913B36}"/>
            </a:ext>
          </a:extLst>
        </xdr:cNvPr>
        <xdr:cNvCxnSpPr/>
      </xdr:nvCxnSpPr>
      <xdr:spPr>
        <a:xfrm>
          <a:off x="373380" y="3459480"/>
          <a:ext cx="3086100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476250</xdr:colOff>
      <xdr:row>17</xdr:row>
      <xdr:rowOff>60960</xdr:rowOff>
    </xdr:from>
    <xdr:to>
      <xdr:col>2</xdr:col>
      <xdr:colOff>476250</xdr:colOff>
      <xdr:row>20</xdr:row>
      <xdr:rowOff>83820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B56EB36-85D4-43FC-AB36-DD0D69A6914B}"/>
            </a:ext>
          </a:extLst>
        </xdr:cNvPr>
        <xdr:cNvCxnSpPr/>
      </xdr:nvCxnSpPr>
      <xdr:spPr>
        <a:xfrm>
          <a:off x="1916430" y="3451860"/>
          <a:ext cx="0" cy="73152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</xdr:colOff>
      <xdr:row>23</xdr:row>
      <xdr:rowOff>175260</xdr:rowOff>
    </xdr:from>
    <xdr:to>
      <xdr:col>3</xdr:col>
      <xdr:colOff>472440</xdr:colOff>
      <xdr:row>33</xdr:row>
      <xdr:rowOff>68580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4A723A-210D-4339-A38D-775E9F66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1143000</xdr:colOff>
      <xdr:row>11</xdr:row>
      <xdr:rowOff>175260</xdr:rowOff>
    </xdr:from>
    <xdr:to>
      <xdr:col>9</xdr:col>
      <xdr:colOff>253365</xdr:colOff>
      <xdr:row>33</xdr:row>
      <xdr:rowOff>68580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A497F5-5946-4ADE-86B3-A5D99DBFA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131445</xdr:colOff>
      <xdr:row>11</xdr:row>
      <xdr:rowOff>177165</xdr:rowOff>
    </xdr:from>
    <xdr:to>
      <xdr:col>13</xdr:col>
      <xdr:colOff>196215</xdr:colOff>
      <xdr:row>33</xdr:row>
      <xdr:rowOff>66007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E6A9498-47DA-4E85-9DAC-F3C32CE79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11C31-E363-475D-AF74-004ED93A0039}" name="Data" displayName="Data" ref="A1:J4795" totalsRowShown="0" headerRowDxfId="8">
  <autoFilter ref="A1:J4795" xr:uid="{89811C31-E363-475D-AF74-004ED93A0039}"/>
  <tableColumns count="10">
    <tableColumn id="1" xr3:uid="{C3A4944D-4FA3-45F8-8B7F-AA8B6FA63B94}" name="Year"/>
    <tableColumn id="2" xr3:uid="{E5415744-CAF1-4128-9E6C-FCE99869D7D3}" name="Month"/>
    <tableColumn id="3" xr3:uid="{060FB6A1-6CC4-4EBA-AE64-D58B88BA0CC4}" name="Store Name"/>
    <tableColumn id="4" xr3:uid="{3A20E544-8B20-49BE-A25B-E38EE190995C}" name="Region"/>
    <tableColumn id="5" xr3:uid="{17DDE3C4-699A-4B7C-A2F6-3DEE2FBB8B98}" name="Store Type"/>
    <tableColumn id="6" xr3:uid="{D3E7BDA6-7A35-4C70-B23A-65E38A0BD19B}" name="Product Name"/>
    <tableColumn id="7" xr3:uid="{592436C1-1CED-4C46-A95A-285F57C6A7DD}" name="Product Category"/>
    <tableColumn id="8" xr3:uid="{8D31BF43-009A-4C30-BA44-AA0085B0BFDF}" name="Units Sold"/>
    <tableColumn id="9" xr3:uid="{DF351876-2814-42B2-943C-F50C1DC8C79E}" name="Revenue" dataDxfId="7"/>
    <tableColumn id="10" xr3:uid="{4128EF18-1420-4BED-A731-599200DD1802}" name="Profit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Custom 9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4A90"/>
      </a:accent1>
      <a:accent2>
        <a:srgbClr val="ED7D31"/>
      </a:accent2>
      <a:accent3>
        <a:srgbClr val="A5A5A5"/>
      </a:accent3>
      <a:accent4>
        <a:srgbClr val="FFC000"/>
      </a:accent4>
      <a:accent5>
        <a:srgbClr val="034A9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showGridLines="0" topLeftCell="A4351" zoomScaleNormal="100" workbookViewId="0"/>
  </sheetViews>
  <sheetFormatPr defaultRowHeight="14.5" x14ac:dyDescent="0.35"/>
  <cols>
    <col min="1" max="1" width="7.1796875" customWidth="1"/>
    <col min="2" max="2" width="9.1796875" customWidth="1"/>
    <col min="3" max="3" width="14.26953125" customWidth="1"/>
    <col min="4" max="4" width="15" customWidth="1"/>
    <col min="5" max="5" width="16.26953125" customWidth="1"/>
    <col min="6" max="6" width="20.453125" bestFit="1" customWidth="1"/>
    <col min="7" max="7" width="18.81640625" customWidth="1"/>
    <col min="8" max="8" width="12.1796875" customWidth="1"/>
    <col min="9" max="9" width="11" customWidth="1"/>
    <col min="12" max="13" width="11.453125" bestFit="1" customWidth="1"/>
    <col min="16" max="16" width="15.453125" bestFit="1" customWidth="1"/>
    <col min="18" max="18" width="18.26953125" bestFit="1" customWidth="1"/>
    <col min="27" max="27" width="14.26953125" customWidth="1"/>
    <col min="28" max="28" width="11.453125" customWidth="1"/>
    <col min="32" max="33" width="14.26953125" customWidth="1"/>
    <col min="34" max="34" width="11.453125" customWidth="1"/>
    <col min="37" max="37" width="12.26953125" bestFit="1" customWidth="1"/>
    <col min="38" max="38" width="17.7265625" bestFit="1" customWidth="1"/>
    <col min="48" max="49" width="14.26953125" customWidth="1"/>
    <col min="50" max="50" width="17.453125" bestFit="1" customWidth="1"/>
    <col min="51" max="51" width="11.453125" customWidth="1"/>
  </cols>
  <sheetData>
    <row r="1" spans="1:51" x14ac:dyDescent="0.35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35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35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4004.3199999999997</v>
      </c>
    </row>
    <row r="4" spans="1:51" x14ac:dyDescent="0.35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1343.6100000000001</v>
      </c>
    </row>
    <row r="5" spans="1:51" x14ac:dyDescent="0.35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2989.38</v>
      </c>
    </row>
    <row r="6" spans="1:51" x14ac:dyDescent="0.35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2509.21</v>
      </c>
    </row>
    <row r="7" spans="1:51" x14ac:dyDescent="0.35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4919.3100000000004</v>
      </c>
    </row>
    <row r="8" spans="1:51" x14ac:dyDescent="0.35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0</v>
      </c>
    </row>
    <row r="9" spans="1:51" x14ac:dyDescent="0.35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0</v>
      </c>
    </row>
    <row r="10" spans="1:51" x14ac:dyDescent="0.35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0</v>
      </c>
    </row>
    <row r="11" spans="1:51" x14ac:dyDescent="0.35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0</v>
      </c>
    </row>
    <row r="12" spans="1:51" x14ac:dyDescent="0.35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0</v>
      </c>
    </row>
    <row r="13" spans="1:51" x14ac:dyDescent="0.35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3117.4900000000002</v>
      </c>
    </row>
    <row r="14" spans="1:51" x14ac:dyDescent="0.35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1624.23</v>
      </c>
    </row>
    <row r="15" spans="1:51" x14ac:dyDescent="0.35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650.57000000000005</v>
      </c>
    </row>
    <row r="16" spans="1:51" x14ac:dyDescent="0.35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1062.1399999999999</v>
      </c>
    </row>
    <row r="17" spans="1:51" x14ac:dyDescent="0.35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3649.11</v>
      </c>
    </row>
    <row r="18" spans="1:51" x14ac:dyDescent="0.35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0</v>
      </c>
    </row>
    <row r="19" spans="1:51" x14ac:dyDescent="0.35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0</v>
      </c>
    </row>
    <row r="20" spans="1:51" x14ac:dyDescent="0.35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0</v>
      </c>
    </row>
    <row r="21" spans="1:51" x14ac:dyDescent="0.35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0</v>
      </c>
    </row>
    <row r="22" spans="1:51" x14ac:dyDescent="0.35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0</v>
      </c>
    </row>
    <row r="23" spans="1:51" x14ac:dyDescent="0.35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6425.0400000000009</v>
      </c>
    </row>
    <row r="24" spans="1:51" x14ac:dyDescent="0.35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2839.35</v>
      </c>
    </row>
    <row r="25" spans="1:51" x14ac:dyDescent="0.35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2885.23</v>
      </c>
    </row>
    <row r="26" spans="1:51" x14ac:dyDescent="0.35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1833.58</v>
      </c>
    </row>
    <row r="27" spans="1:51" x14ac:dyDescent="0.35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4188.5600000000004</v>
      </c>
    </row>
    <row r="28" spans="1:51" x14ac:dyDescent="0.35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0</v>
      </c>
    </row>
    <row r="29" spans="1:51" x14ac:dyDescent="0.35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0</v>
      </c>
    </row>
    <row r="30" spans="1:51" x14ac:dyDescent="0.35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0</v>
      </c>
    </row>
    <row r="31" spans="1:51" x14ac:dyDescent="0.35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0</v>
      </c>
    </row>
    <row r="32" spans="1:51" x14ac:dyDescent="0.35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0</v>
      </c>
    </row>
    <row r="33" spans="1:51" x14ac:dyDescent="0.35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0</v>
      </c>
    </row>
    <row r="34" spans="1:51" x14ac:dyDescent="0.35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0</v>
      </c>
    </row>
    <row r="35" spans="1:51" x14ac:dyDescent="0.35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54</v>
      </c>
      <c r="AX35" t="s">
        <v>21</v>
      </c>
      <c r="AY35" s="3">
        <f t="shared" ref="AY35:AY52" si="3">SUMIFS(I:I,D:D,_xlfn.SINGLE(Region),C:C,AW35,G:G,AX35,A:A,_xlfn.SINGLE(CurYear),B:B,_xlfn.SINGLE(CurMonth))</f>
        <v>0</v>
      </c>
    </row>
    <row r="36" spans="1:51" x14ac:dyDescent="0.35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0</v>
      </c>
    </row>
    <row r="37" spans="1:51" x14ac:dyDescent="0.35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0</v>
      </c>
    </row>
    <row r="38" spans="1:51" x14ac:dyDescent="0.35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0</v>
      </c>
    </row>
    <row r="39" spans="1:51" x14ac:dyDescent="0.35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0</v>
      </c>
    </row>
    <row r="40" spans="1:51" x14ac:dyDescent="0.35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0</v>
      </c>
    </row>
    <row r="41" spans="1:51" x14ac:dyDescent="0.35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0</v>
      </c>
    </row>
    <row r="42" spans="1:51" x14ac:dyDescent="0.35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0</v>
      </c>
    </row>
    <row r="43" spans="1:51" x14ac:dyDescent="0.35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0</v>
      </c>
    </row>
    <row r="44" spans="1:51" x14ac:dyDescent="0.35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0</v>
      </c>
    </row>
    <row r="45" spans="1:51" x14ac:dyDescent="0.35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0</v>
      </c>
    </row>
    <row r="46" spans="1:51" x14ac:dyDescent="0.35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0</v>
      </c>
    </row>
    <row r="47" spans="1:51" x14ac:dyDescent="0.35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0</v>
      </c>
    </row>
    <row r="48" spans="1:51" x14ac:dyDescent="0.35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0</v>
      </c>
    </row>
    <row r="49" spans="1:51" x14ac:dyDescent="0.35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0</v>
      </c>
    </row>
    <row r="50" spans="1:51" x14ac:dyDescent="0.35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0</v>
      </c>
    </row>
    <row r="51" spans="1:51" x14ac:dyDescent="0.35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0</v>
      </c>
    </row>
    <row r="52" spans="1:51" x14ac:dyDescent="0.35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0</v>
      </c>
    </row>
    <row r="53" spans="1:51" x14ac:dyDescent="0.35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35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35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35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35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35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35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35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5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35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35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35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35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35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35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35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35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35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35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35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35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5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35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35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5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35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35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35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35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35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35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35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35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35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35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35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35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35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5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35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35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5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35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35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35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35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35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35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35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35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35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35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35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35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35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35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5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35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35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35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35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35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35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35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35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35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35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35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35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35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5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35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35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35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35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35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5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35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35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35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35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35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35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35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35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35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35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35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35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35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5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35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35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5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35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35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35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35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35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35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35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35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35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35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35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5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35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35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5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35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35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35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35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35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35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35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35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35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35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35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35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35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35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35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5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35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35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35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35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35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35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35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35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35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35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35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35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35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35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35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35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5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35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35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35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35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35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35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35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35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35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35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35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5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35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35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35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5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35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35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35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35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35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35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35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35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35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35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35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35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35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5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35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35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35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5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35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35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35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35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35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35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35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35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35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35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35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35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5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35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35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5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35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35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35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35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35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35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35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35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35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35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35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35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35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35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5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35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35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35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35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35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35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35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35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35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35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35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35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35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35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35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5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35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35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35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35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35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35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35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35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35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35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35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35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35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35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35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35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35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5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35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35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35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35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35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35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35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35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35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35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35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35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35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35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5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35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35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5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35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35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35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35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35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35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35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35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35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35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35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35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35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5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35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35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5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35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35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35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35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35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35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35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35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35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35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35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35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35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35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5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35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35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5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35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35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35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35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35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35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35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35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35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35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35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35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35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35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35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5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35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35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35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5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35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35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35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35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35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35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35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35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35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35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35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35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35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5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35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35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35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5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35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35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35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35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35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35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35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35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35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35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35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35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35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35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35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35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5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35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35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5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35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35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35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35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35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35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35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35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35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35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35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35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35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35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5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35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35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5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35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35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35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35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35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35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35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35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35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35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35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35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5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35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35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5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35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35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35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35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35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35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35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35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35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35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35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35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5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35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35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5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35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35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35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35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35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35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35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35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35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35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35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35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5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35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35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5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35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35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35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35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35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35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35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35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35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35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35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35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35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5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35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35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5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35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35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35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35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35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35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35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35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35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35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35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35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35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35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5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35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35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5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35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35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35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35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35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35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35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35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35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35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35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35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5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35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35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35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35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35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35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35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35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35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35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35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35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35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35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35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35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35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5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35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35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5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35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35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35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35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35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35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35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35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35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35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35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35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35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35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35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35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5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35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35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35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35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35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35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35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35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35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35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35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35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35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35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35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35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5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35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35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5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35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35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35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35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35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35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35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35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35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35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35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35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35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35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35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5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35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35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5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35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35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35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35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35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35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35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35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35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35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35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35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35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35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35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5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35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35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5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35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35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35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35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35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35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35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35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35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35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35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35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35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35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5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35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35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35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5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35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35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35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35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35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35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35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35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35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35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35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35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35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35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35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5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35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35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35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5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35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35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35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35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35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35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35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35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35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35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35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35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35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35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5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35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35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5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35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35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35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35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35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35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35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35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35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35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35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35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35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5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35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35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5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35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35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35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35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35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35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35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35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35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35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35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35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35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35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5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35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35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35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35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35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35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35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35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35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35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35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35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35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35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35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35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35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5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35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35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5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35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35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35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35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35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35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35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35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35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35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35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35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35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35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35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35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5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35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35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35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5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35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35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35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35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35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35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35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35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35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35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35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35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35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35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35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35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35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5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35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35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35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35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35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35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35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35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35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35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35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35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35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35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35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35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35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5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35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35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5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35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35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35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35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35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35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35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35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35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35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35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35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35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35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35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35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5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35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35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5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35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35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35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35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35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35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35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35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35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35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35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35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35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35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35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35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5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35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35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5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35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35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35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35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35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35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35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35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35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35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35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35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35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35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35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35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35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5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35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35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5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35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35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35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35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35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35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35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35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35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35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35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35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35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35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35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35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35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35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5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35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35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35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5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35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35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35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35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35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35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35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35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35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35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35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35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35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35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35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5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35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35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5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35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35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35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35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35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35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35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35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35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35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35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35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35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35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35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35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35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35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35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35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35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35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35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35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35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35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35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35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35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35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35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35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35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35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5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35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35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5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35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35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35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35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35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35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35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35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35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35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35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35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35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35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35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35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5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35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35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35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35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5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35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35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35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35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35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35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35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35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35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35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35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35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35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35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35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35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35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5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35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35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35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5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35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35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35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35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35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35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35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35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35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35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35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35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35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35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35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35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35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35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5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35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35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5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35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35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35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35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35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35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35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35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35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35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35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35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35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35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35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35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35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5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35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35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5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35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35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35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35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35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35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35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35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35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35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35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35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35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35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35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35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5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35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35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35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5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35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35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35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35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35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35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35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35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35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35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35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35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35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35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35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35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35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5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35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35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35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35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35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35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35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35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35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35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35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35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35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35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35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35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35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5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35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35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5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35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35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35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35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35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35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35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35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35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35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35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35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35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35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35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5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35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35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5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35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35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35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35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35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35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35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35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35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35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35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35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35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35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35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35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5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35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35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35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35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5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35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35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35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35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35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35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35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35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35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35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35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35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35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35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35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35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35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35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35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5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35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35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35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35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35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35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35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35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35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35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35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35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35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35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35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5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35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35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35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5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35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35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35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35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35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35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35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35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35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35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35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35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35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35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35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35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35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35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35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5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35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35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35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35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35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35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35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35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35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35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35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35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35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35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35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5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35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35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5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35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35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35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5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35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35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35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35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35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35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35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35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35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35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35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35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5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35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35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5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35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35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5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35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35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35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35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35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35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35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35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35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35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35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35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5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35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35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5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35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35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35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35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35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35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35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35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35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35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35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35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35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35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35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5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35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35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35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35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35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35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35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35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35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35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35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35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35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35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35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35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35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35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35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35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35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35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35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35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35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5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35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35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35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5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35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35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35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35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35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35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35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35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35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35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35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35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35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35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35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5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35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35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35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35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35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35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35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35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35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35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35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35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35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35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35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35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5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35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35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35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35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35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35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35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35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5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35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35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35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35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35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35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35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35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35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35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35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35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35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5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35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35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5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35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35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35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35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35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35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35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35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35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35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35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35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35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35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35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35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5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35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35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35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5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35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35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35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35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35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35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35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35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35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35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35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35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35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35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35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5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35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35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35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5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35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35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35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35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35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35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35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35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35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35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35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35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35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35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35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35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5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35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35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35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5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35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35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35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35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35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35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35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35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35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35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35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35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35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5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35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35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35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5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35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35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5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35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35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35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35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35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35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35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35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35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35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35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35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35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35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35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35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5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35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35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35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35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35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35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35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35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35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35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35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35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35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35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35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35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35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5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35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35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35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5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35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35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35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35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35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35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35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35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35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35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35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35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35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35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5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35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35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35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35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5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35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35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35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5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35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35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35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35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35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35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35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35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35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35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35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35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35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35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35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5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35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35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35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5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35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35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35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35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35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35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35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35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35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35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35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35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35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35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35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35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35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35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35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35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5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35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35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35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35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35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35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35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35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35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35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35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35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35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35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35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35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35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5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35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35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35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5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35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35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35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35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35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35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35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35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35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35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35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5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35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35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35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35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35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5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35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35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35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5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35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35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35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35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35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35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35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35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35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35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35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35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35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5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35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35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35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35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5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35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35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35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5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35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35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35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35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35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35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35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35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35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35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35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35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35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5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35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35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35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5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35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35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35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5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35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35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35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35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35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35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35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35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35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35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35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35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35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35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35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35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5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35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35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5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35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35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35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35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35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35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35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35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35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35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35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35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35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5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35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35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35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35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5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35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35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35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5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35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35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35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35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35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35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35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35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35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35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35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35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35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35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5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35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35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35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35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5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35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35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35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5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35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35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35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35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35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35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35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35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35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35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35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35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35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35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35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35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35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35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35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5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35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35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35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35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35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35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35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35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35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35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35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35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35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35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35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35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35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35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5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35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35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35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5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35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35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35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35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35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35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35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35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35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35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35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35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35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35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5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35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35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35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35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35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5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35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35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35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5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35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35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35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35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35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35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35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35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35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35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35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35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35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35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5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35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35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35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5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35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35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35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35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35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35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35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35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35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35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35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35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35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5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35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35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35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35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5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35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35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35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5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35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35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35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35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35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35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35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35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35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35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35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35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35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35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35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35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35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35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5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35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35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35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5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35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35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35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35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35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35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35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35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35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35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35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35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35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35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35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35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35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35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5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35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35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35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35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5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35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35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35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5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35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35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35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35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35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35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35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35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35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35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35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35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35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35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35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5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35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35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5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35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35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35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35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35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35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35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35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35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35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35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35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5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35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35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35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35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5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35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35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5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35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35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35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35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35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35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35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35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35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35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35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35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35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5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35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35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35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5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35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35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35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5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35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35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35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35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35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35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35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35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35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35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35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35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35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5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35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35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35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5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35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35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35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5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35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35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35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35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35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35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35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35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35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5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35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35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35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35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5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35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35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35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5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35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35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35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35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35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35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35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35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35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35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35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35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35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35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5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35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35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35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35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35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35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35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35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5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35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35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35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35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35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35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35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35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35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35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35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35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35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35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5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35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35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35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5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35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35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35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35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35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35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35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35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35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35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35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35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35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35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35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35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35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35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35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5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35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35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35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35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5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35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35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35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35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35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35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35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35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35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35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35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35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35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35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35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35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35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35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5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35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35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35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5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35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35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35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35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35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35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35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35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35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35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35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35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35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35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35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35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35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35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5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35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35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35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35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5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35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35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35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35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5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35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35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35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35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35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35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35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35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35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35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35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35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35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5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35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35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35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5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35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35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35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35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5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35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35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35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35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35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35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35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35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35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35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35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35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35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35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35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35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5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35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35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35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35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35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5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35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35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35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5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35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35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35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35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35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35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35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35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35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35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35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35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35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35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35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5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35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35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35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35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5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35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35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35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35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35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35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35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35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35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35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35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35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35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5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35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35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35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35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5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35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35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35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35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5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35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35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35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35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35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35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35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35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35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35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35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35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35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35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5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35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35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35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5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35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35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35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35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5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35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35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35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35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35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35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35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35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35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35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35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35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35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35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5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35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35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35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35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35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35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35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35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35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35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35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35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35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35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35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35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35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35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35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35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35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35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35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35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35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35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5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35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35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35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5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35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35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35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35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35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35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35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35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35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35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35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35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35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35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35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35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35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35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35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35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35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5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35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35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35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35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5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35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35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35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35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35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35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35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35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35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35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35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35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35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35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35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35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5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35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35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35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35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35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35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5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35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35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35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35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5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35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35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35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35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35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35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35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35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35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35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35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35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35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35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35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35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35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35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35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35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35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5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35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35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35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35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35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5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35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35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35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35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35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35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35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35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35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35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35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35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35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35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35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35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5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35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35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35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5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35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35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35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5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35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35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35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35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35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35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35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35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35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35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35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35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35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35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35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35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35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35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35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35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35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35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5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35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35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35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35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35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5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35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35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35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35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35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35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35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35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35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35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35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35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35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35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35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35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5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35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35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35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35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35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35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35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35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35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35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35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35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35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35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35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35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35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35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35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35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35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5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35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35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35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5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35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35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35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35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35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35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35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35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35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35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35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35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35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35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35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35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5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35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35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35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5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35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35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35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35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35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35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35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35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35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35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35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35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35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35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35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35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35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35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35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5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35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35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35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35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35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35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35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35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5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35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35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35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35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35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35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35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35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35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35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35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35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35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35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35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35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35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5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35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35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35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35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5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35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35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35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35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35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35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35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35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35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35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35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35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35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35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35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5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35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35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35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35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35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5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35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35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35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35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35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5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35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35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35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35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35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35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35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35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35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35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35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35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35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35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35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35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35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35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35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35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5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35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35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35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35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35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35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35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35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35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35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35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35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35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35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35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35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35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35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35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35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35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5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35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35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35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5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35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35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35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35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5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35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35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35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35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35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35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35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35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35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35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35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35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35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35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35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5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35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35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35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5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35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35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35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35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5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35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35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35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35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35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35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35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35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35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35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35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35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35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35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35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35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35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5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35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35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35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35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35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5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35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35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35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35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35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5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35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35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35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35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35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35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35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35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35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35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35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35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35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35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35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35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35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5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35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35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35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35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35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5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35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35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35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35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35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35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35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35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35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35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35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35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35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35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35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5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35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35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35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35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5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35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35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35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35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5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35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35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35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35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35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35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35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35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35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35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35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35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35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35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35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35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5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35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35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35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35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5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35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35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35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35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35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35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35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35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35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35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35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35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35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35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5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35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35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35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35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5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35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35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35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35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5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35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35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35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35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35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35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35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35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35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35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35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35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35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5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35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35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35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35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5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35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35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35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35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35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5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35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35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35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35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35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35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35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35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35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35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35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35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35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35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35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5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35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35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35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35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5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35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35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35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35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5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35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35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35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35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35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35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35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35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35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35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35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35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35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35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35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35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35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35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5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35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35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35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35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5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35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35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35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35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35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35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35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35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35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35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35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35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35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35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35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5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35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35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35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5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35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35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35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35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5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35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35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35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35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35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35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35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35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35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35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35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35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35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5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35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35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35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5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35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35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35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35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35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5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35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35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35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35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35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35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35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35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35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35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35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35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35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35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5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35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35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35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35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5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35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35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35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35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5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35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35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35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35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35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35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35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35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35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35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35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35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35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35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35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35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5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35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35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35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35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35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5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35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35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35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35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35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35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35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35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35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35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35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35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35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35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5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35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35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35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35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5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35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35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35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35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35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5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35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35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35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35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35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35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35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35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35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35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35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35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5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35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35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5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35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35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35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35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5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35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35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35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35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35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35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35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35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35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35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35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35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35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35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5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35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35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35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35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35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35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35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35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35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35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5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35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35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35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35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35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35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35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35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35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35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35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35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35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5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35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35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35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35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5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35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35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35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35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35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35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5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35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35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35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35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35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35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35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35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35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5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35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35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35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35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35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5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35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35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35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35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35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35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5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35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35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35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35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35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35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35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35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35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35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35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35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35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35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35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35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5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35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35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35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35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35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35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5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35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35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35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35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35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35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35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35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35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35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35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35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35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35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35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35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35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35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5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35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35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35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35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35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35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5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35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35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35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35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35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35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35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35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35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35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35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35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35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35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35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5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35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35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35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35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35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5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35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35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35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35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35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35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35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35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35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35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35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35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35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35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5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35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35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35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35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35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5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35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35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35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35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35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5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35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35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35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35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35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35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35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35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35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35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35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35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35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35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35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35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35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35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5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35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35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35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35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35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35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35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35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35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35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35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35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35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35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35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35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35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35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35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35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35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5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35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35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35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35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5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35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35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35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35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35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35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35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35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35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35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35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35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35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35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35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35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35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35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35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35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35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5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35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35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35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5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35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35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35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35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35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5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35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35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35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35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35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35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35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35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35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35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35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35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35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35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35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5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35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35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35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35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35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35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35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35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35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35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5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35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35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35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35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35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35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35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35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35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35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35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35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35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35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5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35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35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35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35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5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35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35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35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35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35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35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5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35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35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35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35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35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35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35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35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35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35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35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35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35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35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35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5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35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35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35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35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35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35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5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35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35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35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35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35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35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35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35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35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35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35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35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35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35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35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35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35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35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35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35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35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35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35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5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35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35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35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35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35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35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35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35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35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35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35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35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35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35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35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35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35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35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35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35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35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35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5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35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35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35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35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35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35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35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35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35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35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35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35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35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35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35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35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35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35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35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35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5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35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35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35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5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35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35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35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35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35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5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35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35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35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35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35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35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35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35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35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35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35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35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35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35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35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35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5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35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35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35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35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35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5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35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35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35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35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5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35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35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35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35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35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35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35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35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35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35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35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35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35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35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35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35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5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35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35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35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35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35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35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35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35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35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35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35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35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35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35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35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35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35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35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35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35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35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35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35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35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5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35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35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35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5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35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35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35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35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35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35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5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35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35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35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35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35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35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35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35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35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35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35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35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35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5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35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35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35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5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35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35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35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35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35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5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35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35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35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35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35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35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35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35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35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35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35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35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35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35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5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35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35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35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5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35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35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35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35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35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35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5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35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35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35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35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35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35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35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35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35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35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35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35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35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35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35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35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35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5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35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35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35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35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35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35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5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35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35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35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35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35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35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35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35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35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35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35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35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35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35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35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35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35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5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35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35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35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35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35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35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5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35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35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35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35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35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35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35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35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35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35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35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35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35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35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35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35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35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35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5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35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35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35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35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35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5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35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35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35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35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35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35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5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35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35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35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35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35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35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35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35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35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35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35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35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35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35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35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35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35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5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35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35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35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5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35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35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35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35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35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35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5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35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35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35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35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35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35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35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35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35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35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35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35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35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35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35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35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35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5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35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35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35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5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35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35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35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35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35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5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35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35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35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35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35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35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35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35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35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35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35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35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35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35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35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35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35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35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35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35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5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35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35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35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35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35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5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35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35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35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35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35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35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35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35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35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35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35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35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35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35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35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35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35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35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35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5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35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35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35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35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5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35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35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35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35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35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35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35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35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35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35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35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35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35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35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35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35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35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35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35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5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35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35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35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35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35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35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35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35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35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35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35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35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35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35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35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35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35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35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35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35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35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35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5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35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35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35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35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35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5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35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35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35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35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35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35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35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35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35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35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35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35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35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35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35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35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35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5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35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35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35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35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35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35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5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35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35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35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35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35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35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35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35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35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35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35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35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35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35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35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35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35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35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35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5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35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35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35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35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5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35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35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35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35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35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35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35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35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35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35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35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35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35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35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35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35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35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5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35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35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35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35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35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35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5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35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35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35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35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35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35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35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35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35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35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35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35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35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35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35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35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5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35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35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35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35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35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5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35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35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35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35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35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35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5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35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35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35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35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35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35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35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35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35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35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35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35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35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35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35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35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5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35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35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35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35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5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35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35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35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35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35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35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5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35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35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35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35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35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35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35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35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35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35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35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35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35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35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35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5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35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35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35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5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35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35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35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35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35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5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35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35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35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35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35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35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35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35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35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35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35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35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35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35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35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5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35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35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35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35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35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5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35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35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35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35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35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5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35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35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35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35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35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35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35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35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35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35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35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35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35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35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35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35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35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35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5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35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35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35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35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35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35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5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35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35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35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35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35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35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35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35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35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35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35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35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35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35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35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35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35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5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35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35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35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35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5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35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35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35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35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35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35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35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35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35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35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35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35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35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35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35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35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35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35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35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35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5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35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35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35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5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35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35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35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35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35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35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5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35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35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35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35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35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35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35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35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35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35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35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35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35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5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35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35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35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35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5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35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35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35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35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35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35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5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35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35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35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35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35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35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35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35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35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35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35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35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35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35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5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35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35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35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5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35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35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35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35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35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35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5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35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35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35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35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35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35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35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35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35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35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35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35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35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35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35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5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35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35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35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35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35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5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35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35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35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35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35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35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5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35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35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35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35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35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35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35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35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35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35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35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35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35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35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35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5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35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35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35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35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35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5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35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35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35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35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35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5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35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35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35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35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35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35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35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35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35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35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35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35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35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35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35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5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35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35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35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35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5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35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35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35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35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35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35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5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35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35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35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35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35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35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35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35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35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35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35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35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35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35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35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5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35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35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35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5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35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35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35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35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35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5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35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35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35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35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35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35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35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35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35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35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35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35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35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35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35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35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35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5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35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35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35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35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5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35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35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35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35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35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35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5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35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35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35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35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35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35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35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35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35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35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35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35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35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35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35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35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5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35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35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35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5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35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35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35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35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35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35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35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35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35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35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35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35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35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35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35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35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35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35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35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35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35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35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35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35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35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5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35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35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35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35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35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5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35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35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35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35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35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35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35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35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35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35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35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35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35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35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5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35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35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35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5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35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35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35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35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35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35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5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35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35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35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35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35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35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35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35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35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35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35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35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35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35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35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35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35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35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35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35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35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35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35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35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35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35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35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35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35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35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35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35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35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35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35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35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35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35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35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35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35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35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35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35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35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35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35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35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35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35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35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35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35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35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35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35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35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35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35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35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35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35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35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35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35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35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35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35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35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35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35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35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35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35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35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35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35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35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35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35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35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35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35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35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35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35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35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35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35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35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35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35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35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35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35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35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35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35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35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35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35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35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35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35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35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35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35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35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35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35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35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35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35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35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35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35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35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35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35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35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35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35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35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35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35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35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35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35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35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35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35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35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35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35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35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35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35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35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35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35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35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35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35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35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35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35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35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35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35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35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35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35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35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35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35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35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35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35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35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35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35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35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35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35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35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35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35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35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35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35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35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35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35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35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35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35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35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35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35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35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35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35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35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35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35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35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35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35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35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35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35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35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35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35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35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35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35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35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35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35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35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35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35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35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35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35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35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35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35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35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35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35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35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35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35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35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35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35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35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35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35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35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35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35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35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35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35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35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35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35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35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35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35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35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35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35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35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35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35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35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35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35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35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35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35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35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35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35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35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35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35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35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35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35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35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35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35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35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35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35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35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35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35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35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35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35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35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35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35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35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35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35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35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35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35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35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35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35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35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35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35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35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35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35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35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35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35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35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35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35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35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35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35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35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35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35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35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35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35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35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35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35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35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35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35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35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35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35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35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35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35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35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35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35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35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35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35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35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35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35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35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35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35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35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35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35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35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35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35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35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35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35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35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35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35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35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35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35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35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35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35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35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35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35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35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35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35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35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35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35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35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35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35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35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35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35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35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35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35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35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35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35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35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35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35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35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35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35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35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35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35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35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35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35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35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35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35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35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35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35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35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35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35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35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35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35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35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35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35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35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35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35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35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35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35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35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35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35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35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35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35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35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35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35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35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35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35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35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35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35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35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35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35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35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35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35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35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35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35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35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35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35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35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35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35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35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35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35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35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35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35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35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35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35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35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35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35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35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35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35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35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35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35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35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35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35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35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35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35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35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35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35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35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35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35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35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35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35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35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35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35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35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35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35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35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35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35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35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35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35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35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35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35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35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35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35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35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35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35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35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35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35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35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35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35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35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35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35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35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35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35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35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35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35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35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35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35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35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35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35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35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35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35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35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35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35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35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35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35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35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35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35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35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35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35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35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35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35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35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35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35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35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35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35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35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35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35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35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35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35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35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35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35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35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35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35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35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35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35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35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35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35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35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F444-C48B-4099-A2EC-EA23E71D83D1}">
  <dimension ref="A1:AK36"/>
  <sheetViews>
    <sheetView workbookViewId="0"/>
  </sheetViews>
  <sheetFormatPr defaultRowHeight="14.5" x14ac:dyDescent="0.35"/>
  <cols>
    <col min="1" max="1" width="15.81640625" bestFit="1" customWidth="1"/>
    <col min="2" max="2" width="11.453125" bestFit="1" customWidth="1"/>
    <col min="4" max="4" width="14.453125" bestFit="1" customWidth="1"/>
    <col min="5" max="5" width="12" bestFit="1" customWidth="1"/>
    <col min="13" max="13" width="13.7265625" customWidth="1"/>
    <col min="15" max="15" width="12.1796875" bestFit="1" customWidth="1"/>
    <col min="16" max="16" width="11" bestFit="1" customWidth="1"/>
    <col min="20" max="20" width="11.7265625" bestFit="1" customWidth="1"/>
    <col min="21" max="21" width="11.7265625" customWidth="1"/>
    <col min="27" max="27" width="25.54296875" customWidth="1"/>
    <col min="28" max="28" width="10.453125" customWidth="1"/>
    <col min="29" max="29" width="13.26953125" customWidth="1"/>
    <col min="30" max="30" width="12.26953125" customWidth="1"/>
    <col min="35" max="35" width="14.453125" customWidth="1"/>
    <col min="36" max="36" width="11.81640625" customWidth="1"/>
    <col min="37" max="37" width="11.54296875" customWidth="1"/>
  </cols>
  <sheetData>
    <row r="1" spans="1:37" x14ac:dyDescent="0.35">
      <c r="A1" s="6" t="s">
        <v>76</v>
      </c>
      <c r="B1" s="6"/>
      <c r="D1" s="11" t="s">
        <v>84</v>
      </c>
      <c r="E1" s="11"/>
      <c r="G1" s="11" t="s">
        <v>91</v>
      </c>
      <c r="H1" s="11"/>
      <c r="I1" s="11"/>
      <c r="J1" s="11"/>
      <c r="K1" s="11"/>
      <c r="M1" s="11" t="s">
        <v>99</v>
      </c>
      <c r="N1" s="11"/>
      <c r="O1" s="11"/>
      <c r="P1" s="11"/>
      <c r="Q1" s="11"/>
      <c r="S1" s="11" t="s">
        <v>103</v>
      </c>
      <c r="T1" s="11"/>
      <c r="U1" s="11"/>
      <c r="V1" s="11"/>
      <c r="W1" s="11"/>
      <c r="X1" s="11"/>
      <c r="Y1" s="11"/>
      <c r="AA1" s="11" t="s">
        <v>104</v>
      </c>
      <c r="AB1" s="11"/>
      <c r="AC1" s="11"/>
      <c r="AD1" s="11"/>
      <c r="AE1" s="11"/>
      <c r="AF1" s="11"/>
      <c r="AH1" s="11" t="s">
        <v>109</v>
      </c>
      <c r="AI1" s="11"/>
      <c r="AJ1" s="11"/>
      <c r="AK1" s="11"/>
    </row>
    <row r="2" spans="1:37" x14ac:dyDescent="0.35">
      <c r="A2" s="7" t="s">
        <v>52</v>
      </c>
      <c r="B2" s="7" t="s">
        <v>77</v>
      </c>
      <c r="D2" s="8" t="s">
        <v>83</v>
      </c>
      <c r="E2" s="10">
        <f>SUMIFS(Data[Revenue],Data[Region],Region,Data[Month],CurMonth,Data[Year],CurYear)</f>
        <v>44041.12999999999</v>
      </c>
      <c r="G2" s="12" t="s">
        <v>90</v>
      </c>
      <c r="H2" s="12" t="s">
        <v>49</v>
      </c>
      <c r="I2" s="12">
        <f>PrevYear</f>
        <v>2020</v>
      </c>
      <c r="J2" s="12">
        <f>CurYear</f>
        <v>2021</v>
      </c>
      <c r="K2" s="12" t="s">
        <v>77</v>
      </c>
      <c r="M2" s="12" t="s">
        <v>63</v>
      </c>
      <c r="N2" s="12" t="s">
        <v>46</v>
      </c>
      <c r="O2" s="12" t="s">
        <v>100</v>
      </c>
      <c r="P2" s="14" t="s">
        <v>101</v>
      </c>
      <c r="Q2" s="12" t="s">
        <v>102</v>
      </c>
      <c r="S2" s="12" t="s">
        <v>102</v>
      </c>
      <c r="T2" s="12" t="s">
        <v>63</v>
      </c>
      <c r="U2" s="12" t="s">
        <v>52</v>
      </c>
      <c r="V2" s="12" t="s">
        <v>46</v>
      </c>
      <c r="W2" s="14" t="s">
        <v>101</v>
      </c>
      <c r="X2" s="14" t="s">
        <v>77</v>
      </c>
      <c r="Y2" s="14" t="s">
        <v>77</v>
      </c>
      <c r="AA2" s="12" t="s">
        <v>105</v>
      </c>
      <c r="AB2" s="12" t="s">
        <v>46</v>
      </c>
      <c r="AC2" s="12" t="s">
        <v>100</v>
      </c>
      <c r="AD2" s="12" t="s">
        <v>106</v>
      </c>
      <c r="AE2" s="12" t="s">
        <v>107</v>
      </c>
      <c r="AF2" s="12" t="s">
        <v>108</v>
      </c>
      <c r="AH2" s="12" t="s">
        <v>102</v>
      </c>
      <c r="AI2" s="12" t="s">
        <v>105</v>
      </c>
      <c r="AJ2" s="12" t="s">
        <v>46</v>
      </c>
      <c r="AK2" s="12" t="s">
        <v>106</v>
      </c>
    </row>
    <row r="3" spans="1:37" x14ac:dyDescent="0.35">
      <c r="A3" t="s">
        <v>4</v>
      </c>
      <c r="B3" t="str">
        <f>Dashboard!C6</f>
        <v>Los Angeles</v>
      </c>
      <c r="D3" s="8" t="s">
        <v>85</v>
      </c>
      <c r="E3" s="10">
        <f>SUMIFS(Data[Revenue],Data[Region],Region,Data[Month],CurMonth,Data[Year],PrevYear)</f>
        <v>34881.53</v>
      </c>
      <c r="G3">
        <v>1</v>
      </c>
      <c r="H3" t="s">
        <v>92</v>
      </c>
      <c r="I3" s="3">
        <f>SUMIFS(Data[[Revenue]:[Revenue]],Data[[Region]:[Region]],Region,Data[[Month]:[Month]],'Data Prep'!$G3,Data[[Year]:[Year]],'Data Prep'!I$2)</f>
        <v>37135.47</v>
      </c>
      <c r="J3" s="3">
        <f>IF(G3&gt;CurMonth,NA(),SUMIFS(Data[[Revenue]:[Revenue]],Data[[Region]:[Region]],Region,Data[[Month]:[Month]],'Data Prep'!$G3,Data[[Year]:[Year]],'Data Prep'!J$2))</f>
        <v>51959.660000000011</v>
      </c>
      <c r="K3" s="3" t="e">
        <f t="shared" ref="K3:K14" si="0">IF(G3=CurMonth,J3,NA())</f>
        <v>#N/A</v>
      </c>
      <c r="M3" t="s">
        <v>59</v>
      </c>
      <c r="N3" s="3">
        <f>SUMIFS(Data[Revenue],Data[Store Name],M3,Data[Month],CurMonth,Data[Year],CurYear)</f>
        <v>10103.540000000001</v>
      </c>
      <c r="O3" s="3">
        <f>SUMIFS(Data[Revenue],Data[Store Name],M3,Data[Month],PrevMonth,Data[Year],PMYear)</f>
        <v>7938.76</v>
      </c>
      <c r="P3" s="13">
        <f t="shared" ref="P3:P12" si="1">N3/O3-1</f>
        <v>0.27268490293194403</v>
      </c>
      <c r="Q3">
        <f>_xlfn.RANK.AVG(N3,$N$3:$N$12,1)</f>
        <v>2</v>
      </c>
      <c r="S3">
        <v>1</v>
      </c>
      <c r="T3" t="str">
        <f>INDEX($M$3:$P$12,MATCH($S3,$Q$3:$Q$12,0),MATCH(T$2,$M$2:$P$2,0))</f>
        <v>Michigan Ave</v>
      </c>
      <c r="U3" t="str">
        <f>VLOOKUP(T3,Data[[Store Name]:[Region]],2,0)</f>
        <v>Chicago</v>
      </c>
      <c r="V3" s="3">
        <f t="shared" ref="V3:W3" si="2">INDEX($M$3:$P$12,MATCH($S3,$Q$3:$Q$12,0),MATCH(V$2,$M$2:$P$2,0))</f>
        <v>7721.8800000000019</v>
      </c>
      <c r="W3" s="13">
        <f t="shared" si="2"/>
        <v>-0.23788412342481746</v>
      </c>
      <c r="X3" s="3">
        <f t="shared" ref="X3:X12" si="3">IF($U3=Region,V3,0)</f>
        <v>0</v>
      </c>
      <c r="Y3" s="13">
        <f t="shared" ref="Y3:Y12" si="4">IF($U3=Region,W3,0)</f>
        <v>0</v>
      </c>
      <c r="AA3" t="s">
        <v>13</v>
      </c>
      <c r="AB3" s="3">
        <f>SUMIFS(Data[Revenue],Data[Region],Region,Data[Month],CurMonth,Data[Year],CurYear,Data[Product Name],'Data Prep'!AA3)</f>
        <v>1662.96</v>
      </c>
      <c r="AC3" s="3">
        <f>SUMIFS(Data[Revenue],Data[Region],Region,Data[Month],PrevMonth,Data[Year],PMYear,Data[Product Name],'Data Prep'!AA3)</f>
        <v>1087.3200000000002</v>
      </c>
      <c r="AD3" s="2">
        <f>AB3-AC3</f>
        <v>575.63999999999987</v>
      </c>
      <c r="AE3">
        <f>_xlfn.RANK.AVG(AD3,$AD$3:$AD$36,0)</f>
        <v>4</v>
      </c>
      <c r="AF3">
        <f>_xlfn.RANK.AVG(AD3,$AD$3:$AD$36,1)</f>
        <v>31</v>
      </c>
      <c r="AH3">
        <v>1</v>
      </c>
      <c r="AI3" t="str">
        <f>INDEX($AA$3:$AD$36,MATCH($AH3,$AE$3:$AE$36,0),MATCH(AI$2,$AA$2:$AD$2,0))</f>
        <v>Magic Sand</v>
      </c>
      <c r="AJ3" s="3">
        <f t="shared" ref="AJ3:AK8" si="5">INDEX($AA$3:$AD$36,MATCH($AH3,$AE$3:$AE$36,0),MATCH(AJ$2,$AA$2:$AD$2,0))</f>
        <v>6523.92</v>
      </c>
      <c r="AK3" s="3">
        <f t="shared" si="5"/>
        <v>3293.9400000000005</v>
      </c>
    </row>
    <row r="4" spans="1:37" x14ac:dyDescent="0.35">
      <c r="A4" t="s">
        <v>5</v>
      </c>
      <c r="D4" s="8" t="s">
        <v>86</v>
      </c>
      <c r="E4" s="10">
        <f>SUMIFS(Data[Revenue],Data[Region],Region,Data[Month],PrevMonth,Data[Year],PMYear)</f>
        <v>41270.179999999986</v>
      </c>
      <c r="G4">
        <v>2</v>
      </c>
      <c r="H4" t="s">
        <v>93</v>
      </c>
      <c r="I4" s="3">
        <f>SUMIFS(Data[[Revenue]:[Revenue]],Data[[Region]:[Region]],Region,Data[[Month]:[Month]],'Data Prep'!$G4,Data[[Year]:[Year]],'Data Prep'!I$2)</f>
        <v>31324.390000000007</v>
      </c>
      <c r="J4" s="3">
        <f>IF(G4&gt;CurMonth,NA(),SUMIFS(Data[[Revenue]:[Revenue]],Data[[Region]:[Region]],Region,Data[[Month]:[Month]],'Data Prep'!$G4,Data[[Year]:[Year]],'Data Prep'!J$2))</f>
        <v>53726.850000000006</v>
      </c>
      <c r="K4" s="3" t="e">
        <f t="shared" si="0"/>
        <v>#N/A</v>
      </c>
      <c r="M4" t="s">
        <v>56</v>
      </c>
      <c r="N4" s="3">
        <f>SUMIFS(Data[Revenue],Data[Store Name],M4,Data[Month],CurMonth,Data[Year],CurYear)</f>
        <v>15765.830000000002</v>
      </c>
      <c r="O4" s="3">
        <f>SUMIFS(Data[Revenue],Data[Store Name],M4,Data[Month],PrevMonth,Data[Year],PMYear)</f>
        <v>11411.519999999999</v>
      </c>
      <c r="P4" s="13">
        <f t="shared" si="1"/>
        <v>0.38157142957292312</v>
      </c>
      <c r="Q4">
        <f t="shared" ref="Q4:Q12" si="6">_xlfn.RANK.AVG(N4,$N$3:$N$12,1)</f>
        <v>4</v>
      </c>
      <c r="S4">
        <v>2</v>
      </c>
      <c r="T4" t="str">
        <f t="shared" ref="T4:W12" si="7">INDEX($M$3:$P$12,MATCH($S4,$Q$3:$Q$12,0),MATCH(T$2,$M$2:$P$2,0))</f>
        <v>Hollywood</v>
      </c>
      <c r="U4" t="str">
        <f>VLOOKUP(T4,Data[[Store Name]:[Region]],2,0)</f>
        <v>Los Angeles</v>
      </c>
      <c r="V4" s="3">
        <f t="shared" si="7"/>
        <v>10103.540000000001</v>
      </c>
      <c r="W4" s="13">
        <f t="shared" si="7"/>
        <v>0.27268490293194403</v>
      </c>
      <c r="X4" s="3">
        <f t="shared" si="3"/>
        <v>10103.540000000001</v>
      </c>
      <c r="Y4" s="13">
        <f t="shared" si="4"/>
        <v>0.27268490293194403</v>
      </c>
      <c r="AA4" t="s">
        <v>24</v>
      </c>
      <c r="AB4" s="3">
        <f>SUMIFS(Data[Revenue],Data[Region],Region,Data[Month],CurMonth,Data[Year],CurYear,Data[Product Name],'Data Prep'!AA4)</f>
        <v>1675.71</v>
      </c>
      <c r="AC4" s="3">
        <f>SUMIFS(Data[Revenue],Data[Region],Region,Data[Month],PrevMonth,Data[Year],PMYear,Data[Product Name],'Data Prep'!AA4)</f>
        <v>2805.84</v>
      </c>
      <c r="AD4" s="2">
        <f t="shared" ref="AD4:AD36" si="8">AB4-AC4</f>
        <v>-1130.1300000000001</v>
      </c>
      <c r="AE4">
        <f t="shared" ref="AE4:AE36" si="9">_xlfn.RANK.AVG(AD4,$AD$3:$AD$36,0)</f>
        <v>32</v>
      </c>
      <c r="AF4">
        <f t="shared" ref="AF4:AF36" si="10">_xlfn.RANK.AVG(AD4,$AD$3:$AD$36,1)</f>
        <v>3</v>
      </c>
      <c r="AH4">
        <v>2</v>
      </c>
      <c r="AI4" t="str">
        <f t="shared" ref="AI4:AI8" si="11">INDEX($AA$3:$AD$36,MATCH($AH4,$AE$3:$AE$36,0),MATCH(AI$2,$AA$2:$AD$2,0))</f>
        <v>Toy Robot</v>
      </c>
      <c r="AJ4" s="3">
        <f t="shared" si="5"/>
        <v>1533.4099999999999</v>
      </c>
      <c r="AK4" s="3">
        <f t="shared" si="5"/>
        <v>1533.4099999999999</v>
      </c>
    </row>
    <row r="5" spans="1:37" x14ac:dyDescent="0.35">
      <c r="A5" t="s">
        <v>48</v>
      </c>
      <c r="D5" s="8" t="s">
        <v>88</v>
      </c>
      <c r="E5" s="15">
        <f>E2/E3-1</f>
        <v>0.26259169250890069</v>
      </c>
      <c r="G5">
        <v>3</v>
      </c>
      <c r="H5" t="s">
        <v>98</v>
      </c>
      <c r="I5" s="3">
        <f>SUMIFS(Data[[Revenue]:[Revenue]],Data[[Region]:[Region]],Region,Data[[Month]:[Month]],'Data Prep'!$G5,Data[[Year]:[Year]],'Data Prep'!I$2)</f>
        <v>38310.149999999987</v>
      </c>
      <c r="J5" s="3">
        <f>IF(G5&gt;CurMonth,NA(),SUMIFS(Data[[Revenue]:[Revenue]],Data[[Region]:[Region]],Region,Data[[Month]:[Month]],'Data Prep'!$G5,Data[[Year]:[Year]],'Data Prep'!J$2))</f>
        <v>53604.229999999989</v>
      </c>
      <c r="K5" s="3" t="e">
        <f t="shared" si="0"/>
        <v>#N/A</v>
      </c>
      <c r="M5" t="s">
        <v>54</v>
      </c>
      <c r="N5" s="3">
        <f>SUMIFS(Data[Revenue],Data[Store Name],M5,Data[Month],CurMonth,Data[Year],CurYear)</f>
        <v>7721.8800000000019</v>
      </c>
      <c r="O5" s="3">
        <f>SUMIFS(Data[Revenue],Data[Store Name],M5,Data[Month],PrevMonth,Data[Year],PMYear)</f>
        <v>10132.16</v>
      </c>
      <c r="P5" s="13">
        <f t="shared" si="1"/>
        <v>-0.23788412342481746</v>
      </c>
      <c r="Q5">
        <f t="shared" si="6"/>
        <v>1</v>
      </c>
      <c r="S5">
        <v>3</v>
      </c>
      <c r="T5" t="str">
        <f t="shared" si="7"/>
        <v>JFK</v>
      </c>
      <c r="U5" t="str">
        <f>VLOOKUP(T5,Data[[Store Name]:[Region]],2,0)</f>
        <v>New York</v>
      </c>
      <c r="V5" s="3">
        <f t="shared" si="7"/>
        <v>13879.13</v>
      </c>
      <c r="W5" s="13">
        <f t="shared" si="7"/>
        <v>5.7257752439920262E-2</v>
      </c>
      <c r="X5" s="3">
        <f t="shared" si="3"/>
        <v>0</v>
      </c>
      <c r="Y5" s="13">
        <f t="shared" si="4"/>
        <v>0</v>
      </c>
      <c r="AA5" t="s">
        <v>18</v>
      </c>
      <c r="AB5" s="3">
        <f>SUMIFS(Data[Revenue],Data[Region],Region,Data[Month],CurMonth,Data[Year],CurYear,Data[Product Name],'Data Prep'!AA5)</f>
        <v>233.82</v>
      </c>
      <c r="AC5" s="3">
        <f>SUMIFS(Data[Revenue],Data[Region],Region,Data[Month],PrevMonth,Data[Year],PMYear,Data[Product Name],'Data Prep'!AA5)</f>
        <v>0</v>
      </c>
      <c r="AD5" s="2">
        <f t="shared" si="8"/>
        <v>233.82</v>
      </c>
      <c r="AE5">
        <f t="shared" si="9"/>
        <v>10</v>
      </c>
      <c r="AF5">
        <f t="shared" si="10"/>
        <v>25</v>
      </c>
      <c r="AH5">
        <v>3</v>
      </c>
      <c r="AI5" t="str">
        <f t="shared" si="11"/>
        <v>Glass Marbles</v>
      </c>
      <c r="AJ5" s="3">
        <f t="shared" si="5"/>
        <v>1329.79</v>
      </c>
      <c r="AK5" s="3">
        <f t="shared" si="5"/>
        <v>615.44000000000005</v>
      </c>
    </row>
    <row r="6" spans="1:37" x14ac:dyDescent="0.35">
      <c r="D6" s="8" t="s">
        <v>89</v>
      </c>
      <c r="E6" s="15">
        <f>E2/E4-1</f>
        <v>6.7141698921594273E-2</v>
      </c>
      <c r="G6">
        <v>4</v>
      </c>
      <c r="H6" t="s">
        <v>94</v>
      </c>
      <c r="I6" s="3">
        <f>SUMIFS(Data[[Revenue]:[Revenue]],Data[[Region]:[Region]],Region,Data[[Month]:[Month]],'Data Prep'!$G6,Data[[Year]:[Year]],'Data Prep'!I$2)</f>
        <v>43124.819999999992</v>
      </c>
      <c r="J6" s="3">
        <f>IF(G6&gt;CurMonth,NA(),SUMIFS(Data[[Revenue]:[Revenue]],Data[[Region]:[Region]],Region,Data[[Month]:[Month]],'Data Prep'!$G6,Data[[Year]:[Year]],'Data Prep'!J$2))</f>
        <v>50597.080000000009</v>
      </c>
      <c r="K6" s="3" t="e">
        <f t="shared" si="0"/>
        <v>#N/A</v>
      </c>
      <c r="M6" t="s">
        <v>55</v>
      </c>
      <c r="N6" s="3">
        <f>SUMIFS(Data[Revenue],Data[Store Name],M6,Data[Month],CurMonth,Data[Year],CurYear)</f>
        <v>18238.46</v>
      </c>
      <c r="O6" s="3">
        <f>SUMIFS(Data[Revenue],Data[Store Name],M6,Data[Month],PrevMonth,Data[Year],PMYear)</f>
        <v>15332.379999999996</v>
      </c>
      <c r="P6" s="13">
        <f t="shared" si="1"/>
        <v>0.18953874088693379</v>
      </c>
      <c r="Q6">
        <f t="shared" si="6"/>
        <v>9</v>
      </c>
      <c r="S6">
        <v>4</v>
      </c>
      <c r="T6" t="str">
        <f t="shared" si="7"/>
        <v>Beverly Hills</v>
      </c>
      <c r="U6" t="str">
        <f>VLOOKUP(T6,Data[[Store Name]:[Region]],2,0)</f>
        <v>Los Angeles</v>
      </c>
      <c r="V6" s="3">
        <f t="shared" si="7"/>
        <v>15765.830000000002</v>
      </c>
      <c r="W6" s="13">
        <f t="shared" si="7"/>
        <v>0.38157142957292312</v>
      </c>
      <c r="X6" s="3">
        <f t="shared" si="3"/>
        <v>15765.830000000002</v>
      </c>
      <c r="Y6" s="13">
        <f t="shared" si="4"/>
        <v>0.38157142957292312</v>
      </c>
      <c r="AA6" t="s">
        <v>30</v>
      </c>
      <c r="AB6" s="3">
        <f>SUMIFS(Data[Revenue],Data[Region],Region,Data[Month],CurMonth,Data[Year],CurYear,Data[Product Name],'Data Prep'!AA6)</f>
        <v>249.75</v>
      </c>
      <c r="AC6" s="3">
        <f>SUMIFS(Data[Revenue],Data[Region],Region,Data[Month],PrevMonth,Data[Year],PMYear,Data[Product Name],'Data Prep'!AA6)</f>
        <v>0</v>
      </c>
      <c r="AD6" s="2">
        <f t="shared" si="8"/>
        <v>249.75</v>
      </c>
      <c r="AE6">
        <f t="shared" si="9"/>
        <v>9</v>
      </c>
      <c r="AF6">
        <f t="shared" si="10"/>
        <v>26</v>
      </c>
      <c r="AH6">
        <v>4</v>
      </c>
      <c r="AI6" t="str">
        <f t="shared" si="11"/>
        <v>Action Figure</v>
      </c>
      <c r="AJ6" s="3">
        <f t="shared" si="5"/>
        <v>1662.96</v>
      </c>
      <c r="AK6" s="3">
        <f t="shared" si="5"/>
        <v>575.63999999999987</v>
      </c>
    </row>
    <row r="7" spans="1:37" x14ac:dyDescent="0.35">
      <c r="A7" s="6" t="s">
        <v>78</v>
      </c>
      <c r="B7" s="6"/>
      <c r="G7">
        <v>5</v>
      </c>
      <c r="H7" t="s">
        <v>98</v>
      </c>
      <c r="I7" s="3">
        <f>SUMIFS(Data[[Revenue]:[Revenue]],Data[[Region]:[Region]],Region,Data[[Month]:[Month]],'Data Prep'!$G7,Data[[Year]:[Year]],'Data Prep'!I$2)</f>
        <v>48602.219999999994</v>
      </c>
      <c r="J7" s="3">
        <f>IF(G7&gt;CurMonth,NA(),SUMIFS(Data[[Revenue]:[Revenue]],Data[[Region]:[Region]],Region,Data[[Month]:[Month]],'Data Prep'!$G7,Data[[Year]:[Year]],'Data Prep'!J$2))</f>
        <v>66944.169999999984</v>
      </c>
      <c r="K7" s="3" t="e">
        <f t="shared" si="0"/>
        <v>#N/A</v>
      </c>
      <c r="M7" t="s">
        <v>53</v>
      </c>
      <c r="N7" s="3">
        <f>SUMIFS(Data[Revenue],Data[Store Name],M7,Data[Month],CurMonth,Data[Year],CurYear)</f>
        <v>17505.330000000002</v>
      </c>
      <c r="O7" s="3">
        <f>SUMIFS(Data[Revenue],Data[Store Name],M7,Data[Month],PrevMonth,Data[Year],PMYear)</f>
        <v>17049.52</v>
      </c>
      <c r="P7" s="13">
        <f t="shared" si="1"/>
        <v>2.6734476982343214E-2</v>
      </c>
      <c r="Q7">
        <f t="shared" si="6"/>
        <v>6</v>
      </c>
      <c r="S7">
        <v>5</v>
      </c>
      <c r="T7" t="str">
        <f t="shared" si="7"/>
        <v>Fifth Avenue</v>
      </c>
      <c r="U7" t="str">
        <f>VLOOKUP(T7,Data[[Store Name]:[Region]],2,0)</f>
        <v>New York</v>
      </c>
      <c r="V7" s="3">
        <f t="shared" si="7"/>
        <v>16255.230000000001</v>
      </c>
      <c r="W7" s="13">
        <f t="shared" si="7"/>
        <v>-0.13607835613264074</v>
      </c>
      <c r="X7" s="3">
        <f t="shared" si="3"/>
        <v>0</v>
      </c>
      <c r="Y7" s="13">
        <f t="shared" si="4"/>
        <v>0</v>
      </c>
      <c r="AA7" t="s">
        <v>20</v>
      </c>
      <c r="AB7" s="3">
        <f>SUMIFS(Data[Revenue],Data[Region],Region,Data[Month],CurMonth,Data[Year],CurYear,Data[Product Name],'Data Prep'!AA7)</f>
        <v>4467.0200000000004</v>
      </c>
      <c r="AC7" s="3">
        <f>SUMIFS(Data[Revenue],Data[Region],Region,Data[Month],PrevMonth,Data[Year],PMYear,Data[Product Name],'Data Prep'!AA7)</f>
        <v>4377.08</v>
      </c>
      <c r="AD7" s="2">
        <f t="shared" si="8"/>
        <v>89.940000000000509</v>
      </c>
      <c r="AE7">
        <f t="shared" si="9"/>
        <v>13</v>
      </c>
      <c r="AF7">
        <f t="shared" si="10"/>
        <v>22</v>
      </c>
      <c r="AH7">
        <v>5</v>
      </c>
      <c r="AI7" t="str">
        <f t="shared" si="11"/>
        <v>Splash Balls</v>
      </c>
      <c r="AJ7" s="3">
        <f t="shared" si="5"/>
        <v>836.07</v>
      </c>
      <c r="AK7" s="3">
        <f t="shared" si="5"/>
        <v>440.51000000000005</v>
      </c>
    </row>
    <row r="8" spans="1:37" x14ac:dyDescent="0.35">
      <c r="A8" s="8" t="s">
        <v>79</v>
      </c>
      <c r="B8" s="9">
        <f>MAX(Data[Year])</f>
        <v>2021</v>
      </c>
      <c r="G8">
        <v>6</v>
      </c>
      <c r="H8" t="s">
        <v>92</v>
      </c>
      <c r="I8" s="3">
        <f>SUMIFS(Data[[Revenue]:[Revenue]],Data[[Region]:[Region]],Region,Data[[Month]:[Month]],'Data Prep'!$G8,Data[[Year]:[Year]],'Data Prep'!I$2)</f>
        <v>42487.139999999992</v>
      </c>
      <c r="J8" s="3">
        <f>IF(G8&gt;CurMonth,NA(),SUMIFS(Data[[Revenue]:[Revenue]],Data[[Region]:[Region]],Region,Data[[Month]:[Month]],'Data Prep'!$G8,Data[[Year]:[Year]],'Data Prep'!J$2))</f>
        <v>46196.220000000008</v>
      </c>
      <c r="K8" s="3" t="e">
        <f t="shared" si="0"/>
        <v>#N/A</v>
      </c>
      <c r="M8" t="s">
        <v>58</v>
      </c>
      <c r="N8" s="3">
        <f>SUMIFS(Data[Revenue],Data[Store Name],M8,Data[Month],CurMonth,Data[Year],CurYear)</f>
        <v>16255.230000000001</v>
      </c>
      <c r="O8" s="3">
        <f>SUMIFS(Data[Revenue],Data[Store Name],M8,Data[Month],PrevMonth,Data[Year],PMYear)</f>
        <v>18815.63</v>
      </c>
      <c r="P8" s="13">
        <f t="shared" si="1"/>
        <v>-0.13607835613264074</v>
      </c>
      <c r="Q8">
        <f t="shared" si="6"/>
        <v>5</v>
      </c>
      <c r="S8">
        <v>6</v>
      </c>
      <c r="T8" t="str">
        <f t="shared" si="7"/>
        <v>Lincoln Park</v>
      </c>
      <c r="U8" t="str">
        <f>VLOOKUP(T8,Data[[Store Name]:[Region]],2,0)</f>
        <v>Chicago</v>
      </c>
      <c r="V8" s="3">
        <f>INDEX($M$3:$P$12,MATCH($S8,$Q$3:$Q$12,0),MATCH(V$2,$M$2:$P$2,0))</f>
        <v>17505.330000000002</v>
      </c>
      <c r="W8" s="13">
        <f t="shared" si="7"/>
        <v>2.6734476982343214E-2</v>
      </c>
      <c r="X8" s="3">
        <f t="shared" si="3"/>
        <v>0</v>
      </c>
      <c r="Y8" s="13">
        <f t="shared" si="4"/>
        <v>0</v>
      </c>
      <c r="AA8" t="s">
        <v>25</v>
      </c>
      <c r="AB8" s="3">
        <f>SUMIFS(Data[Revenue],Data[Region],Region,Data[Month],CurMonth,Data[Year],CurYear,Data[Product Name],'Data Prep'!AA8)</f>
        <v>575.64</v>
      </c>
      <c r="AC8" s="3">
        <f>SUMIFS(Data[Revenue],Data[Region],Region,Data[Month],PrevMonth,Data[Year],PMYear,Data[Product Name],'Data Prep'!AA8)</f>
        <v>1263.21</v>
      </c>
      <c r="AD8" s="2">
        <f t="shared" si="8"/>
        <v>-687.57</v>
      </c>
      <c r="AE8">
        <f t="shared" si="9"/>
        <v>31</v>
      </c>
      <c r="AF8">
        <f t="shared" si="10"/>
        <v>4</v>
      </c>
      <c r="AH8">
        <v>6</v>
      </c>
      <c r="AI8" t="str">
        <f t="shared" si="11"/>
        <v>PlayDoh Toolkit</v>
      </c>
      <c r="AJ8" s="3">
        <f t="shared" si="5"/>
        <v>469.06</v>
      </c>
      <c r="AK8" s="3">
        <f t="shared" si="5"/>
        <v>439.12</v>
      </c>
    </row>
    <row r="9" spans="1:37" x14ac:dyDescent="0.35">
      <c r="A9" s="8" t="s">
        <v>80</v>
      </c>
      <c r="B9" s="9">
        <f>_xlfn.MAXIFS(Data[Month],Data[Year],CurYear)</f>
        <v>9</v>
      </c>
      <c r="G9">
        <v>7</v>
      </c>
      <c r="H9" t="s">
        <v>92</v>
      </c>
      <c r="I9" s="3">
        <f>SUMIFS(Data[[Revenue]:[Revenue]],Data[[Region]:[Region]],Region,Data[[Month]:[Month]],'Data Prep'!$G9,Data[[Year]:[Year]],'Data Prep'!I$2)</f>
        <v>44643.76</v>
      </c>
      <c r="J9" s="3">
        <f>IF(G9&gt;CurMonth,NA(),SUMIFS(Data[[Revenue]:[Revenue]],Data[[Region]:[Region]],Region,Data[[Month]:[Month]],'Data Prep'!$G9,Data[[Year]:[Year]],'Data Prep'!J$2))</f>
        <v>59782.98000000001</v>
      </c>
      <c r="K9" s="3" t="e">
        <f t="shared" si="0"/>
        <v>#N/A</v>
      </c>
      <c r="M9" t="s">
        <v>62</v>
      </c>
      <c r="N9" s="3">
        <f>SUMIFS(Data[Revenue],Data[Store Name],M9,Data[Month],CurMonth,Data[Year],CurYear)</f>
        <v>20484.010000000002</v>
      </c>
      <c r="O9" s="3">
        <f>SUMIFS(Data[Revenue],Data[Store Name],M9,Data[Month],PrevMonth,Data[Year],PMYear)</f>
        <v>17895.43</v>
      </c>
      <c r="P9" s="13">
        <f t="shared" si="1"/>
        <v>0.14465033810308014</v>
      </c>
      <c r="Q9">
        <f t="shared" si="6"/>
        <v>10</v>
      </c>
      <c r="S9">
        <v>7</v>
      </c>
      <c r="T9" t="str">
        <f t="shared" si="7"/>
        <v>LAX</v>
      </c>
      <c r="U9" t="str">
        <f>VLOOKUP(T9,Data[[Store Name]:[Region]],2,0)</f>
        <v>Los Angeles</v>
      </c>
      <c r="V9" s="3">
        <f t="shared" si="7"/>
        <v>18171.759999999995</v>
      </c>
      <c r="W9" s="13">
        <f t="shared" si="7"/>
        <v>-0.17099256839675403</v>
      </c>
      <c r="X9" s="3">
        <f t="shared" si="3"/>
        <v>18171.759999999995</v>
      </c>
      <c r="Y9" s="13">
        <f t="shared" si="4"/>
        <v>-0.17099256839675403</v>
      </c>
      <c r="AA9" t="s">
        <v>8</v>
      </c>
      <c r="AB9" s="3">
        <f>SUMIFS(Data[Revenue],Data[Region],Region,Data[Month],CurMonth,Data[Year],CurYear,Data[Product Name],'Data Prep'!AA9)</f>
        <v>2334.66</v>
      </c>
      <c r="AC9" s="3">
        <f>SUMIFS(Data[Revenue],Data[Region],Region,Data[Month],PrevMonth,Data[Year],PMYear,Data[Product Name],'Data Prep'!AA9)</f>
        <v>2006.13</v>
      </c>
      <c r="AD9" s="2">
        <f t="shared" si="8"/>
        <v>328.52999999999975</v>
      </c>
      <c r="AE9">
        <f t="shared" si="9"/>
        <v>8</v>
      </c>
      <c r="AF9">
        <f t="shared" si="10"/>
        <v>27</v>
      </c>
    </row>
    <row r="10" spans="1:37" x14ac:dyDescent="0.35">
      <c r="A10" s="8" t="s">
        <v>81</v>
      </c>
      <c r="B10" s="9">
        <f>CurYear-1</f>
        <v>2020</v>
      </c>
      <c r="G10">
        <v>8</v>
      </c>
      <c r="H10" t="s">
        <v>94</v>
      </c>
      <c r="I10" s="3">
        <f>SUMIFS(Data[[Revenue]:[Revenue]],Data[[Region]:[Region]],Region,Data[[Month]:[Month]],'Data Prep'!$G10,Data[[Year]:[Year]],'Data Prep'!I$2)</f>
        <v>36202.770000000004</v>
      </c>
      <c r="J10" s="3">
        <f>IF(G10&gt;CurMonth,NA(),SUMIFS(Data[[Revenue]:[Revenue]],Data[[Region]:[Region]],Region,Data[[Month]:[Month]],'Data Prep'!$G10,Data[[Year]:[Year]],'Data Prep'!J$2))</f>
        <v>41270.179999999986</v>
      </c>
      <c r="K10" s="3" t="e">
        <f t="shared" si="0"/>
        <v>#N/A</v>
      </c>
      <c r="M10" t="s">
        <v>60</v>
      </c>
      <c r="N10" s="3">
        <f>SUMIFS(Data[Revenue],Data[Store Name],M10,Data[Month],CurMonth,Data[Year],CurYear)</f>
        <v>13879.13</v>
      </c>
      <c r="O10" s="3">
        <f>SUMIFS(Data[Revenue],Data[Store Name],M10,Data[Month],PrevMonth,Data[Year],PMYear)</f>
        <v>13127.479999999996</v>
      </c>
      <c r="P10" s="13">
        <f t="shared" si="1"/>
        <v>5.7257752439920262E-2</v>
      </c>
      <c r="Q10">
        <f t="shared" si="6"/>
        <v>3</v>
      </c>
      <c r="S10">
        <v>8</v>
      </c>
      <c r="T10" t="str">
        <f t="shared" si="7"/>
        <v>O'Hare</v>
      </c>
      <c r="U10" t="str">
        <f>VLOOKUP(T10,Data[[Store Name]:[Region]],2,0)</f>
        <v>Chicago</v>
      </c>
      <c r="V10" s="3">
        <f t="shared" si="7"/>
        <v>18237.980000000003</v>
      </c>
      <c r="W10" s="13">
        <f t="shared" si="7"/>
        <v>-0.3315731431233282</v>
      </c>
      <c r="X10" s="3">
        <f t="shared" si="3"/>
        <v>0</v>
      </c>
      <c r="Y10" s="13">
        <f t="shared" si="4"/>
        <v>0</v>
      </c>
      <c r="AA10" t="s">
        <v>17</v>
      </c>
      <c r="AB10" s="3">
        <f>SUMIFS(Data[Revenue],Data[Region],Region,Data[Month],CurMonth,Data[Year],CurYear,Data[Product Name],'Data Prep'!AA10)</f>
        <v>2659.58</v>
      </c>
      <c r="AC10" s="3">
        <f>SUMIFS(Data[Revenue],Data[Region],Region,Data[Month],PrevMonth,Data[Year],PMYear,Data[Product Name],'Data Prep'!AA10)</f>
        <v>3901.45</v>
      </c>
      <c r="AD10" s="2">
        <f t="shared" si="8"/>
        <v>-1241.8699999999999</v>
      </c>
      <c r="AE10">
        <f t="shared" si="9"/>
        <v>33</v>
      </c>
      <c r="AF10">
        <f t="shared" si="10"/>
        <v>2</v>
      </c>
      <c r="AH10" s="11" t="s">
        <v>110</v>
      </c>
      <c r="AI10" s="11"/>
      <c r="AJ10" s="11"/>
      <c r="AK10" s="11"/>
    </row>
    <row r="11" spans="1:37" x14ac:dyDescent="0.35">
      <c r="A11" s="8" t="s">
        <v>82</v>
      </c>
      <c r="B11" s="9">
        <f>IF(CurMonth=1,12,CurMonth-1)</f>
        <v>8</v>
      </c>
      <c r="G11">
        <v>9</v>
      </c>
      <c r="H11" t="s">
        <v>95</v>
      </c>
      <c r="I11" s="3">
        <f>SUMIFS(Data[[Revenue]:[Revenue]],Data[[Region]:[Region]],Region,Data[[Month]:[Month]],'Data Prep'!$G11,Data[[Year]:[Year]],'Data Prep'!I$2)</f>
        <v>34881.53</v>
      </c>
      <c r="J11" s="3">
        <f>IF(G11&gt;CurMonth,NA(),SUMIFS(Data[[Revenue]:[Revenue]],Data[[Region]:[Region]],Region,Data[[Month]:[Month]],'Data Prep'!$G11,Data[[Year]:[Year]],'Data Prep'!J$2))</f>
        <v>44041.12999999999</v>
      </c>
      <c r="K11" s="3">
        <f t="shared" si="0"/>
        <v>44041.12999999999</v>
      </c>
      <c r="M11" t="s">
        <v>61</v>
      </c>
      <c r="N11" s="3">
        <f>SUMIFS(Data[Revenue],Data[Store Name],M11,Data[Month],CurMonth,Data[Year],CurYear)</f>
        <v>18171.759999999995</v>
      </c>
      <c r="O11" s="3">
        <f>SUMIFS(Data[Revenue],Data[Store Name],M11,Data[Month],PrevMonth,Data[Year],PMYear)</f>
        <v>21919.900000000005</v>
      </c>
      <c r="P11" s="13">
        <f t="shared" si="1"/>
        <v>-0.17099256839675403</v>
      </c>
      <c r="Q11">
        <f t="shared" si="6"/>
        <v>7</v>
      </c>
      <c r="S11">
        <v>9</v>
      </c>
      <c r="T11" t="str">
        <f t="shared" si="7"/>
        <v>Millenium</v>
      </c>
      <c r="U11" t="str">
        <f>VLOOKUP(T11,Data[[Store Name]:[Region]],2,0)</f>
        <v>Chicago</v>
      </c>
      <c r="V11" s="3">
        <f t="shared" si="7"/>
        <v>18238.46</v>
      </c>
      <c r="W11" s="13">
        <f t="shared" si="7"/>
        <v>0.18953874088693379</v>
      </c>
      <c r="X11" s="3">
        <f t="shared" si="3"/>
        <v>0</v>
      </c>
      <c r="Y11" s="13">
        <f t="shared" si="4"/>
        <v>0</v>
      </c>
      <c r="AA11" t="s">
        <v>28</v>
      </c>
      <c r="AB11" s="3">
        <f>SUMIFS(Data[Revenue],Data[Region],Region,Data[Month],CurMonth,Data[Year],CurYear,Data[Product Name],'Data Prep'!AA11)</f>
        <v>1424.05</v>
      </c>
      <c r="AC11" s="3">
        <f>SUMIFS(Data[Revenue],Data[Region],Region,Data[Month],PrevMonth,Data[Year],PMYear,Data[Product Name],'Data Prep'!AA11)</f>
        <v>1469.02</v>
      </c>
      <c r="AD11" s="2">
        <f t="shared" si="8"/>
        <v>-44.970000000000027</v>
      </c>
      <c r="AE11">
        <f t="shared" si="9"/>
        <v>22</v>
      </c>
      <c r="AF11">
        <f t="shared" si="10"/>
        <v>13</v>
      </c>
      <c r="AH11" s="12" t="s">
        <v>102</v>
      </c>
      <c r="AI11" s="12" t="s">
        <v>105</v>
      </c>
      <c r="AJ11" s="12" t="s">
        <v>46</v>
      </c>
      <c r="AK11" s="12" t="s">
        <v>106</v>
      </c>
    </row>
    <row r="12" spans="1:37" x14ac:dyDescent="0.35">
      <c r="A12" s="8" t="s">
        <v>87</v>
      </c>
      <c r="B12" s="9">
        <f>IF(CurMonth=1,PrevYear,CurYear)</f>
        <v>2021</v>
      </c>
      <c r="G12">
        <v>10</v>
      </c>
      <c r="H12" t="s">
        <v>96</v>
      </c>
      <c r="I12" s="3">
        <f>SUMIFS(Data[[Revenue]:[Revenue]],Data[[Region]:[Region]],Region,Data[[Month]:[Month]],'Data Prep'!$G12,Data[[Year]:[Year]],'Data Prep'!I$2)</f>
        <v>43505.939999999995</v>
      </c>
      <c r="J12" s="3" t="e">
        <f>IF(G12&gt;CurMonth,NA(),SUMIFS(Data[[Revenue]:[Revenue]],Data[[Region]:[Region]],Region,Data[[Month]:[Month]],'Data Prep'!$G12,Data[[Year]:[Year]],'Data Prep'!J$2))</f>
        <v>#N/A</v>
      </c>
      <c r="K12" s="3" t="e">
        <f t="shared" si="0"/>
        <v>#N/A</v>
      </c>
      <c r="M12" t="s">
        <v>57</v>
      </c>
      <c r="N12" s="3">
        <f>SUMIFS(Data[Revenue],Data[Store Name],M12,Data[Month],CurMonth,Data[Year],CurYear)</f>
        <v>18237.980000000003</v>
      </c>
      <c r="O12" s="3">
        <f>SUMIFS(Data[Revenue],Data[Store Name],M12,Data[Month],PrevMonth,Data[Year],PMYear)</f>
        <v>27284.929999999993</v>
      </c>
      <c r="P12" s="13">
        <f t="shared" si="1"/>
        <v>-0.3315731431233282</v>
      </c>
      <c r="Q12">
        <f t="shared" si="6"/>
        <v>8</v>
      </c>
      <c r="S12">
        <v>10</v>
      </c>
      <c r="T12" t="str">
        <f t="shared" si="7"/>
        <v>Times Square</v>
      </c>
      <c r="U12" t="str">
        <f>VLOOKUP(T12,Data[[Store Name]:[Region]],2,0)</f>
        <v>New York</v>
      </c>
      <c r="V12" s="3">
        <f t="shared" si="7"/>
        <v>20484.010000000002</v>
      </c>
      <c r="W12" s="13">
        <f t="shared" si="7"/>
        <v>0.14465033810308014</v>
      </c>
      <c r="X12" s="3">
        <f t="shared" si="3"/>
        <v>0</v>
      </c>
      <c r="Y12" s="13">
        <f t="shared" si="4"/>
        <v>0</v>
      </c>
      <c r="AA12" t="s">
        <v>32</v>
      </c>
      <c r="AB12" s="3">
        <f>SUMIFS(Data[Revenue],Data[Region],Region,Data[Month],CurMonth,Data[Year],CurYear,Data[Product Name],'Data Prep'!AA12)</f>
        <v>1329.79</v>
      </c>
      <c r="AC12" s="3">
        <f>SUMIFS(Data[Revenue],Data[Region],Region,Data[Month],PrevMonth,Data[Year],PMYear,Data[Product Name],'Data Prep'!AA12)</f>
        <v>714.34999999999991</v>
      </c>
      <c r="AD12" s="2">
        <f t="shared" si="8"/>
        <v>615.44000000000005</v>
      </c>
      <c r="AE12">
        <f t="shared" si="9"/>
        <v>3</v>
      </c>
      <c r="AF12">
        <f t="shared" si="10"/>
        <v>32</v>
      </c>
      <c r="AH12">
        <v>1</v>
      </c>
      <c r="AI12" t="str">
        <f>INDEX($AA$3:$AD$36,MATCH($AH12,$AF$3:$AF$36,0),MATCH(AI$2,$AA$2:$AD$2,0))</f>
        <v>Rubik's Cube</v>
      </c>
      <c r="AJ12" s="3">
        <f t="shared" ref="AJ12:AK17" si="12">INDEX($AA$3:$AD$36,MATCH($AH12,$AF$3:$AF$36,0),MATCH(AJ$2,$AA$2:$AD$2,0))</f>
        <v>1479.2599999999998</v>
      </c>
      <c r="AK12" s="3">
        <f t="shared" si="12"/>
        <v>-2598.6999999999998</v>
      </c>
    </row>
    <row r="13" spans="1:37" x14ac:dyDescent="0.35">
      <c r="A13" s="8" t="s">
        <v>113</v>
      </c>
      <c r="B13" t="str">
        <f>VLOOKUP(CurMonth,A16:B27,2,0)&amp;" "&amp;CurYear</f>
        <v>September 2021</v>
      </c>
      <c r="G13">
        <v>11</v>
      </c>
      <c r="H13" t="s">
        <v>97</v>
      </c>
      <c r="I13" s="3">
        <f>SUMIFS(Data[[Revenue]:[Revenue]],Data[[Region]:[Region]],Region,Data[[Month]:[Month]],'Data Prep'!$G13,Data[[Year]:[Year]],'Data Prep'!I$2)</f>
        <v>43677.41</v>
      </c>
      <c r="J13" s="3" t="e">
        <f>IF(G13&gt;CurMonth,NA(),SUMIFS(Data[[Revenue]:[Revenue]],Data[[Region]:[Region]],Region,Data[[Month]:[Month]],'Data Prep'!$G13,Data[[Year]:[Year]],'Data Prep'!J$2))</f>
        <v>#N/A</v>
      </c>
      <c r="K13" s="3" t="e">
        <f t="shared" si="0"/>
        <v>#N/A</v>
      </c>
      <c r="AA13" t="s">
        <v>31</v>
      </c>
      <c r="AB13" s="3">
        <f>SUMIFS(Data[Revenue],Data[Region],Region,Data[Month],CurMonth,Data[Year],CurYear,Data[Product Name],'Data Prep'!AA13)</f>
        <v>1019.4899999999999</v>
      </c>
      <c r="AC13" s="3">
        <f>SUMIFS(Data[Revenue],Data[Region],Region,Data[Month],PrevMonth,Data[Year],PMYear,Data[Product Name],'Data Prep'!AA13)</f>
        <v>919.54</v>
      </c>
      <c r="AD13" s="2">
        <f t="shared" si="8"/>
        <v>99.949999999999932</v>
      </c>
      <c r="AE13">
        <f t="shared" si="9"/>
        <v>11</v>
      </c>
      <c r="AF13">
        <f t="shared" si="10"/>
        <v>24</v>
      </c>
      <c r="AH13">
        <v>2</v>
      </c>
      <c r="AI13" t="str">
        <f t="shared" ref="AI13:AI17" si="13">INDEX($AA$3:$AD$36,MATCH($AH13,$AF$3:$AF$36,0),MATCH(AI$2,$AA$2:$AD$2,0))</f>
        <v>Dino Egg</v>
      </c>
      <c r="AJ13" s="3">
        <f t="shared" si="12"/>
        <v>2659.58</v>
      </c>
      <c r="AK13" s="3">
        <f t="shared" si="12"/>
        <v>-1241.8699999999999</v>
      </c>
    </row>
    <row r="14" spans="1:37" x14ac:dyDescent="0.35">
      <c r="G14">
        <v>12</v>
      </c>
      <c r="H14" t="s">
        <v>75</v>
      </c>
      <c r="I14" s="3">
        <f>SUMIFS(Data[[Revenue]:[Revenue]],Data[[Region]:[Region]],Region,Data[[Month]:[Month]],'Data Prep'!$G14,Data[[Year]:[Year]],'Data Prep'!I$2)</f>
        <v>61614.720000000001</v>
      </c>
      <c r="J14" s="3" t="e">
        <f>IF(G14&gt;CurMonth,NA(),SUMIFS(Data[[Revenue]:[Revenue]],Data[[Region]:[Region]],Region,Data[[Month]:[Month]],'Data Prep'!$G14,Data[[Year]:[Year]],'Data Prep'!J$2))</f>
        <v>#N/A</v>
      </c>
      <c r="K14" s="3" t="e">
        <f t="shared" si="0"/>
        <v>#N/A</v>
      </c>
      <c r="AA14" t="s">
        <v>15</v>
      </c>
      <c r="AB14" s="3">
        <f>SUMIFS(Data[Revenue],Data[Region],Region,Data[Month],CurMonth,Data[Year],CurYear,Data[Product Name],'Data Prep'!AA14)</f>
        <v>4918.7700000000004</v>
      </c>
      <c r="AC14" s="3">
        <f>SUMIFS(Data[Revenue],Data[Region],Region,Data[Month],PrevMonth,Data[Year],PMYear,Data[Product Name],'Data Prep'!AA14)</f>
        <v>4518.87</v>
      </c>
      <c r="AD14" s="2">
        <f t="shared" si="8"/>
        <v>399.90000000000055</v>
      </c>
      <c r="AE14">
        <f t="shared" si="9"/>
        <v>7</v>
      </c>
      <c r="AF14">
        <f t="shared" si="10"/>
        <v>28</v>
      </c>
      <c r="AH14">
        <v>3</v>
      </c>
      <c r="AI14" t="str">
        <f t="shared" si="13"/>
        <v>Animal Figures</v>
      </c>
      <c r="AJ14" s="3">
        <f t="shared" si="12"/>
        <v>1675.71</v>
      </c>
      <c r="AK14" s="3">
        <f t="shared" si="12"/>
        <v>-1130.1300000000001</v>
      </c>
    </row>
    <row r="15" spans="1:37" x14ac:dyDescent="0.35">
      <c r="A15" s="24" t="s">
        <v>90</v>
      </c>
      <c r="B15" s="7" t="s">
        <v>49</v>
      </c>
      <c r="AA15" t="s">
        <v>71</v>
      </c>
      <c r="AB15" s="3">
        <f>SUMIFS(Data[Revenue],Data[Region],Region,Data[Month],CurMonth,Data[Year],CurYear,Data[Product Name],'Data Prep'!AA15)</f>
        <v>0</v>
      </c>
      <c r="AC15" s="3">
        <f>SUMIFS(Data[Revenue],Data[Region],Region,Data[Month],PrevMonth,Data[Year],PMYear,Data[Product Name],'Data Prep'!AA15)</f>
        <v>0</v>
      </c>
      <c r="AD15" s="2">
        <f t="shared" si="8"/>
        <v>0</v>
      </c>
      <c r="AE15">
        <f t="shared" si="9"/>
        <v>18</v>
      </c>
      <c r="AF15">
        <f t="shared" si="10"/>
        <v>17</v>
      </c>
      <c r="AH15">
        <v>4</v>
      </c>
      <c r="AI15" t="str">
        <f t="shared" si="13"/>
        <v>Dart Gun</v>
      </c>
      <c r="AJ15" s="3">
        <f t="shared" si="12"/>
        <v>575.64</v>
      </c>
      <c r="AK15" s="3">
        <f t="shared" si="12"/>
        <v>-687.57</v>
      </c>
    </row>
    <row r="16" spans="1:37" x14ac:dyDescent="0.35">
      <c r="A16">
        <v>1</v>
      </c>
      <c r="B16" t="s">
        <v>114</v>
      </c>
      <c r="AA16" t="s">
        <v>19</v>
      </c>
      <c r="AB16" s="3">
        <f>SUMIFS(Data[Revenue],Data[Region],Region,Data[Month],CurMonth,Data[Year],CurYear,Data[Product Name],'Data Prep'!AA16)</f>
        <v>179.91</v>
      </c>
      <c r="AC16" s="3">
        <f>SUMIFS(Data[Revenue],Data[Region],Region,Data[Month],PrevMonth,Data[Year],PMYear,Data[Product Name],'Data Prep'!AA16)</f>
        <v>359.82</v>
      </c>
      <c r="AD16" s="2">
        <f t="shared" si="8"/>
        <v>-179.91</v>
      </c>
      <c r="AE16">
        <f t="shared" si="9"/>
        <v>25</v>
      </c>
      <c r="AF16">
        <f t="shared" si="10"/>
        <v>10</v>
      </c>
      <c r="AH16">
        <v>5</v>
      </c>
      <c r="AI16" t="str">
        <f t="shared" si="13"/>
        <v>Nerf Gun</v>
      </c>
      <c r="AJ16" s="3">
        <f t="shared" si="12"/>
        <v>2018.9899999999998</v>
      </c>
      <c r="AK16" s="3">
        <f t="shared" si="12"/>
        <v>-479.75999999999976</v>
      </c>
    </row>
    <row r="17" spans="1:37" x14ac:dyDescent="0.35">
      <c r="A17">
        <v>2</v>
      </c>
      <c r="B17" t="s">
        <v>115</v>
      </c>
      <c r="AA17" t="s">
        <v>27</v>
      </c>
      <c r="AB17" s="3">
        <f>SUMIFS(Data[Revenue],Data[Region],Region,Data[Month],CurMonth,Data[Year],CurYear,Data[Product Name],'Data Prep'!AA17)</f>
        <v>741.5200000000001</v>
      </c>
      <c r="AC17" s="3">
        <f>SUMIFS(Data[Revenue],Data[Region],Region,Data[Month],PrevMonth,Data[Year],PMYear,Data[Product Name],'Data Prep'!AA17)</f>
        <v>986.7</v>
      </c>
      <c r="AD17" s="2">
        <f t="shared" si="8"/>
        <v>-245.17999999999995</v>
      </c>
      <c r="AE17">
        <f t="shared" si="9"/>
        <v>26</v>
      </c>
      <c r="AF17">
        <f t="shared" si="10"/>
        <v>9</v>
      </c>
      <c r="AH17">
        <v>6</v>
      </c>
      <c r="AI17" t="str">
        <f t="shared" si="13"/>
        <v>Plush Pony</v>
      </c>
      <c r="AJ17" s="3">
        <f t="shared" si="12"/>
        <v>379.80999999999995</v>
      </c>
      <c r="AK17" s="3">
        <f t="shared" si="12"/>
        <v>-419.78999999999996</v>
      </c>
    </row>
    <row r="18" spans="1:37" x14ac:dyDescent="0.35">
      <c r="A18">
        <v>3</v>
      </c>
      <c r="B18" t="s">
        <v>116</v>
      </c>
      <c r="AA18" t="s">
        <v>11</v>
      </c>
      <c r="AB18" s="3">
        <f>SUMIFS(Data[Revenue],Data[Region],Region,Data[Month],CurMonth,Data[Year],CurYear,Data[Product Name],'Data Prep'!AA18)</f>
        <v>469.06</v>
      </c>
      <c r="AC18" s="3">
        <f>SUMIFS(Data[Revenue],Data[Region],Region,Data[Month],PrevMonth,Data[Year],PMYear,Data[Product Name],'Data Prep'!AA18)</f>
        <v>29.940000000000005</v>
      </c>
      <c r="AD18" s="2">
        <f t="shared" si="8"/>
        <v>439.12</v>
      </c>
      <c r="AE18">
        <f t="shared" si="9"/>
        <v>6</v>
      </c>
      <c r="AF18">
        <f t="shared" si="10"/>
        <v>29</v>
      </c>
    </row>
    <row r="19" spans="1:37" x14ac:dyDescent="0.35">
      <c r="A19">
        <v>4</v>
      </c>
      <c r="B19" t="s">
        <v>117</v>
      </c>
      <c r="AA19" t="s">
        <v>26</v>
      </c>
      <c r="AB19" s="3">
        <f>SUMIFS(Data[Revenue],Data[Region],Region,Data[Month],CurMonth,Data[Year],CurYear,Data[Product Name],'Data Prep'!AA19)</f>
        <v>1479.2599999999998</v>
      </c>
      <c r="AC19" s="3">
        <f>SUMIFS(Data[Revenue],Data[Region],Region,Data[Month],PrevMonth,Data[Year],PMYear,Data[Product Name],'Data Prep'!AA19)</f>
        <v>4077.9599999999996</v>
      </c>
      <c r="AD19" s="2">
        <f t="shared" si="8"/>
        <v>-2598.6999999999998</v>
      </c>
      <c r="AE19">
        <f t="shared" si="9"/>
        <v>34</v>
      </c>
      <c r="AF19">
        <f t="shared" si="10"/>
        <v>1</v>
      </c>
    </row>
    <row r="20" spans="1:37" x14ac:dyDescent="0.35">
      <c r="A20">
        <v>5</v>
      </c>
      <c r="B20" t="s">
        <v>118</v>
      </c>
      <c r="AA20" t="s">
        <v>6</v>
      </c>
      <c r="AB20" s="3">
        <f>SUMIFS(Data[Revenue],Data[Region],Region,Data[Month],CurMonth,Data[Year],CurYear,Data[Product Name],'Data Prep'!AA20)</f>
        <v>836.07</v>
      </c>
      <c r="AC20" s="3">
        <f>SUMIFS(Data[Revenue],Data[Region],Region,Data[Month],PrevMonth,Data[Year],PMYear,Data[Product Name],'Data Prep'!AA20)</f>
        <v>395.56</v>
      </c>
      <c r="AD20" s="2">
        <f t="shared" si="8"/>
        <v>440.51000000000005</v>
      </c>
      <c r="AE20">
        <f t="shared" si="9"/>
        <v>5</v>
      </c>
      <c r="AF20">
        <f t="shared" si="10"/>
        <v>30</v>
      </c>
    </row>
    <row r="21" spans="1:37" x14ac:dyDescent="0.35">
      <c r="A21">
        <v>6</v>
      </c>
      <c r="B21" t="s">
        <v>119</v>
      </c>
      <c r="AA21" t="s">
        <v>16</v>
      </c>
      <c r="AB21" s="3">
        <f>SUMIFS(Data[Revenue],Data[Region],Region,Data[Month],CurMonth,Data[Year],CurYear,Data[Product Name],'Data Prep'!AA21)</f>
        <v>194.85</v>
      </c>
      <c r="AC21" s="3">
        <f>SUMIFS(Data[Revenue],Data[Region],Region,Data[Month],PrevMonth,Data[Year],PMYear,Data[Product Name],'Data Prep'!AA21)</f>
        <v>142.88999999999999</v>
      </c>
      <c r="AD21" s="2">
        <f t="shared" si="8"/>
        <v>51.960000000000008</v>
      </c>
      <c r="AE21">
        <f t="shared" si="9"/>
        <v>14</v>
      </c>
      <c r="AF21">
        <f t="shared" si="10"/>
        <v>21</v>
      </c>
    </row>
    <row r="22" spans="1:37" x14ac:dyDescent="0.35">
      <c r="A22">
        <v>7</v>
      </c>
      <c r="B22" t="s">
        <v>120</v>
      </c>
      <c r="AA22" t="s">
        <v>23</v>
      </c>
      <c r="AB22" s="3">
        <f>SUMIFS(Data[Revenue],Data[Region],Region,Data[Month],CurMonth,Data[Year],CurYear,Data[Product Name],'Data Prep'!AA22)</f>
        <v>1533.4099999999999</v>
      </c>
      <c r="AC22" s="3">
        <f>SUMIFS(Data[Revenue],Data[Region],Region,Data[Month],PrevMonth,Data[Year],PMYear,Data[Product Name],'Data Prep'!AA22)</f>
        <v>0</v>
      </c>
      <c r="AD22" s="2">
        <f t="shared" si="8"/>
        <v>1533.4099999999999</v>
      </c>
      <c r="AE22">
        <f t="shared" si="9"/>
        <v>2</v>
      </c>
      <c r="AF22">
        <f t="shared" si="10"/>
        <v>33</v>
      </c>
    </row>
    <row r="23" spans="1:37" x14ac:dyDescent="0.35">
      <c r="A23">
        <v>8</v>
      </c>
      <c r="B23" t="s">
        <v>121</v>
      </c>
      <c r="AA23" t="s">
        <v>10</v>
      </c>
      <c r="AB23" s="3">
        <f>SUMIFS(Data[Revenue],Data[Region],Region,Data[Month],CurMonth,Data[Year],CurYear,Data[Product Name],'Data Prep'!AA23)</f>
        <v>2018.9899999999998</v>
      </c>
      <c r="AC23" s="3">
        <f>SUMIFS(Data[Revenue],Data[Region],Region,Data[Month],PrevMonth,Data[Year],PMYear,Data[Product Name],'Data Prep'!AA23)</f>
        <v>2498.7499999999995</v>
      </c>
      <c r="AD23" s="2">
        <f t="shared" si="8"/>
        <v>-479.75999999999976</v>
      </c>
      <c r="AE23">
        <f t="shared" si="9"/>
        <v>30</v>
      </c>
      <c r="AF23">
        <f t="shared" si="10"/>
        <v>5</v>
      </c>
    </row>
    <row r="24" spans="1:37" x14ac:dyDescent="0.35">
      <c r="A24">
        <v>9</v>
      </c>
      <c r="B24" t="s">
        <v>122</v>
      </c>
      <c r="AA24" t="s">
        <v>66</v>
      </c>
      <c r="AB24" s="3">
        <f>SUMIFS(Data[Revenue],Data[Region],Region,Data[Month],CurMonth,Data[Year],CurYear,Data[Product Name],'Data Prep'!AA24)</f>
        <v>0</v>
      </c>
      <c r="AC24" s="3">
        <f>SUMIFS(Data[Revenue],Data[Region],Region,Data[Month],PrevMonth,Data[Year],PMYear,Data[Product Name],'Data Prep'!AA24)</f>
        <v>0</v>
      </c>
      <c r="AD24" s="2">
        <f t="shared" si="8"/>
        <v>0</v>
      </c>
      <c r="AE24">
        <f t="shared" si="9"/>
        <v>18</v>
      </c>
      <c r="AF24">
        <f t="shared" si="10"/>
        <v>17</v>
      </c>
    </row>
    <row r="25" spans="1:37" x14ac:dyDescent="0.35">
      <c r="A25">
        <v>10</v>
      </c>
      <c r="B25" t="s">
        <v>123</v>
      </c>
      <c r="AA25" t="s">
        <v>29</v>
      </c>
      <c r="AB25" s="3">
        <f>SUMIFS(Data[Revenue],Data[Region],Region,Data[Month],CurMonth,Data[Year],CurYear,Data[Product Name],'Data Prep'!AA25)</f>
        <v>0</v>
      </c>
      <c r="AC25" s="3">
        <f>SUMIFS(Data[Revenue],Data[Region],Region,Data[Month],PrevMonth,Data[Year],PMYear,Data[Product Name],'Data Prep'!AA25)</f>
        <v>0</v>
      </c>
      <c r="AD25" s="2">
        <f t="shared" si="8"/>
        <v>0</v>
      </c>
      <c r="AE25">
        <f t="shared" si="9"/>
        <v>18</v>
      </c>
      <c r="AF25">
        <f t="shared" si="10"/>
        <v>17</v>
      </c>
    </row>
    <row r="26" spans="1:37" x14ac:dyDescent="0.35">
      <c r="A26">
        <v>11</v>
      </c>
      <c r="B26" t="s">
        <v>124</v>
      </c>
      <c r="AA26" t="s">
        <v>34</v>
      </c>
      <c r="AB26" s="3">
        <f>SUMIFS(Data[Revenue],Data[Region],Region,Data[Month],CurMonth,Data[Year],CurYear,Data[Product Name],'Data Prep'!AA26)</f>
        <v>1049.3700000000001</v>
      </c>
      <c r="AC26" s="3">
        <f>SUMIFS(Data[Revenue],Data[Region],Region,Data[Month],PrevMonth,Data[Year],PMYear,Data[Product Name],'Data Prep'!AA26)</f>
        <v>957.6</v>
      </c>
      <c r="AD26" s="2">
        <f t="shared" si="8"/>
        <v>91.770000000000095</v>
      </c>
      <c r="AE26">
        <f t="shared" si="9"/>
        <v>12</v>
      </c>
      <c r="AF26">
        <f t="shared" si="10"/>
        <v>23</v>
      </c>
    </row>
    <row r="27" spans="1:37" x14ac:dyDescent="0.35">
      <c r="A27">
        <v>12</v>
      </c>
      <c r="B27" t="s">
        <v>125</v>
      </c>
      <c r="AA27" t="s">
        <v>70</v>
      </c>
      <c r="AB27" s="3">
        <f>SUMIFS(Data[Revenue],Data[Region],Region,Data[Month],CurMonth,Data[Year],CurYear,Data[Product Name],'Data Prep'!AA27)</f>
        <v>0</v>
      </c>
      <c r="AC27" s="3">
        <f>SUMIFS(Data[Revenue],Data[Region],Region,Data[Month],PrevMonth,Data[Year],PMYear,Data[Product Name],'Data Prep'!AA27)</f>
        <v>0</v>
      </c>
      <c r="AD27" s="2">
        <f t="shared" si="8"/>
        <v>0</v>
      </c>
      <c r="AE27">
        <f t="shared" si="9"/>
        <v>18</v>
      </c>
      <c r="AF27">
        <f t="shared" si="10"/>
        <v>17</v>
      </c>
    </row>
    <row r="28" spans="1:37" x14ac:dyDescent="0.35">
      <c r="AA28" t="s">
        <v>67</v>
      </c>
      <c r="AB28" s="3">
        <f>SUMIFS(Data[Revenue],Data[Region],Region,Data[Month],CurMonth,Data[Year],CurYear,Data[Product Name],'Data Prep'!AA28)</f>
        <v>0</v>
      </c>
      <c r="AC28" s="3">
        <f>SUMIFS(Data[Revenue],Data[Region],Region,Data[Month],PrevMonth,Data[Year],PMYear,Data[Product Name],'Data Prep'!AA28)</f>
        <v>0</v>
      </c>
      <c r="AD28" s="2">
        <f t="shared" si="8"/>
        <v>0</v>
      </c>
      <c r="AE28">
        <f t="shared" si="9"/>
        <v>18</v>
      </c>
      <c r="AF28">
        <f t="shared" si="10"/>
        <v>17</v>
      </c>
    </row>
    <row r="29" spans="1:37" x14ac:dyDescent="0.35">
      <c r="AA29" t="s">
        <v>37</v>
      </c>
      <c r="AB29" s="3">
        <f>SUMIFS(Data[Revenue],Data[Region],Region,Data[Month],CurMonth,Data[Year],CurYear,Data[Product Name],'Data Prep'!AA29)</f>
        <v>174.92999999999998</v>
      </c>
      <c r="AC29" s="3">
        <f>SUMIFS(Data[Revenue],Data[Region],Region,Data[Month],PrevMonth,Data[Year],PMYear,Data[Product Name],'Data Prep'!AA29)</f>
        <v>574.77</v>
      </c>
      <c r="AD29" s="2">
        <f t="shared" si="8"/>
        <v>-399.84000000000003</v>
      </c>
      <c r="AE29">
        <f t="shared" si="9"/>
        <v>28</v>
      </c>
      <c r="AF29">
        <f t="shared" si="10"/>
        <v>7</v>
      </c>
    </row>
    <row r="30" spans="1:37" x14ac:dyDescent="0.35">
      <c r="AA30" t="s">
        <v>38</v>
      </c>
      <c r="AB30" s="3">
        <f>SUMIFS(Data[Revenue],Data[Region],Region,Data[Month],CurMonth,Data[Year],CurYear,Data[Product Name],'Data Prep'!AA30)</f>
        <v>0</v>
      </c>
      <c r="AC30" s="3">
        <f>SUMIFS(Data[Revenue],Data[Region],Region,Data[Month],PrevMonth,Data[Year],PMYear,Data[Product Name],'Data Prep'!AA30)</f>
        <v>179.82</v>
      </c>
      <c r="AD30" s="2">
        <f t="shared" si="8"/>
        <v>-179.82</v>
      </c>
      <c r="AE30">
        <f t="shared" si="9"/>
        <v>23.5</v>
      </c>
      <c r="AF30">
        <f t="shared" si="10"/>
        <v>11.5</v>
      </c>
    </row>
    <row r="31" spans="1:37" x14ac:dyDescent="0.35">
      <c r="AA31" t="s">
        <v>39</v>
      </c>
      <c r="AB31" s="3">
        <f>SUMIFS(Data[Revenue],Data[Region],Region,Data[Month],CurMonth,Data[Year],CurYear,Data[Product Name],'Data Prep'!AA31)</f>
        <v>379.80999999999995</v>
      </c>
      <c r="AC31" s="3">
        <f>SUMIFS(Data[Revenue],Data[Region],Region,Data[Month],PrevMonth,Data[Year],PMYear,Data[Product Name],'Data Prep'!AA31)</f>
        <v>799.59999999999991</v>
      </c>
      <c r="AD31" s="2">
        <f t="shared" si="8"/>
        <v>-419.78999999999996</v>
      </c>
      <c r="AE31">
        <f t="shared" si="9"/>
        <v>29</v>
      </c>
      <c r="AF31">
        <f t="shared" si="10"/>
        <v>6</v>
      </c>
    </row>
    <row r="32" spans="1:37" x14ac:dyDescent="0.35">
      <c r="AA32" t="s">
        <v>68</v>
      </c>
      <c r="AB32" s="3">
        <f>SUMIFS(Data[Revenue],Data[Region],Region,Data[Month],CurMonth,Data[Year],CurYear,Data[Product Name],'Data Prep'!AA32)</f>
        <v>0</v>
      </c>
      <c r="AC32" s="3">
        <f>SUMIFS(Data[Revenue],Data[Region],Region,Data[Month],PrevMonth,Data[Year],PMYear,Data[Product Name],'Data Prep'!AA32)</f>
        <v>0</v>
      </c>
      <c r="AD32" s="2">
        <f t="shared" si="8"/>
        <v>0</v>
      </c>
      <c r="AE32">
        <f t="shared" si="9"/>
        <v>18</v>
      </c>
      <c r="AF32">
        <f t="shared" si="10"/>
        <v>17</v>
      </c>
    </row>
    <row r="33" spans="27:32" x14ac:dyDescent="0.35">
      <c r="AA33" t="s">
        <v>42</v>
      </c>
      <c r="AB33" s="3">
        <f>SUMIFS(Data[Revenue],Data[Region],Region,Data[Month],CurMonth,Data[Year],CurYear,Data[Product Name],'Data Prep'!AA33)</f>
        <v>6523.92</v>
      </c>
      <c r="AC33" s="3">
        <f>SUMIFS(Data[Revenue],Data[Region],Region,Data[Month],PrevMonth,Data[Year],PMYear,Data[Product Name],'Data Prep'!AA33)</f>
        <v>3229.9799999999996</v>
      </c>
      <c r="AD33" s="2">
        <f t="shared" si="8"/>
        <v>3293.9400000000005</v>
      </c>
      <c r="AE33">
        <f t="shared" si="9"/>
        <v>1</v>
      </c>
      <c r="AF33">
        <f t="shared" si="10"/>
        <v>34</v>
      </c>
    </row>
    <row r="34" spans="27:32" x14ac:dyDescent="0.35">
      <c r="AA34" t="s">
        <v>41</v>
      </c>
      <c r="AB34" s="3">
        <f>SUMIFS(Data[Revenue],Data[Region],Region,Data[Month],CurMonth,Data[Year],CurYear,Data[Product Name],'Data Prep'!AA34)</f>
        <v>259.74</v>
      </c>
      <c r="AC34" s="3">
        <f>SUMIFS(Data[Revenue],Data[Region],Region,Data[Month],PrevMonth,Data[Year],PMYear,Data[Product Name],'Data Prep'!AA34)</f>
        <v>439.56</v>
      </c>
      <c r="AD34" s="2">
        <f t="shared" si="8"/>
        <v>-179.82</v>
      </c>
      <c r="AE34">
        <f t="shared" si="9"/>
        <v>23.5</v>
      </c>
      <c r="AF34">
        <f t="shared" si="10"/>
        <v>11.5</v>
      </c>
    </row>
    <row r="35" spans="27:32" x14ac:dyDescent="0.35">
      <c r="AA35" t="s">
        <v>43</v>
      </c>
      <c r="AB35" s="3">
        <f>SUMIFS(Data[Revenue],Data[Region],Region,Data[Month],CurMonth,Data[Year],CurYear,Data[Product Name],'Data Prep'!AA35)</f>
        <v>503.76</v>
      </c>
      <c r="AC35" s="3">
        <f>SUMIFS(Data[Revenue],Data[Region],Region,Data[Month],PrevMonth,Data[Year],PMYear,Data[Product Name],'Data Prep'!AA35)</f>
        <v>902.56999999999994</v>
      </c>
      <c r="AD35" s="2">
        <f t="shared" si="8"/>
        <v>-398.80999999999995</v>
      </c>
      <c r="AE35">
        <f t="shared" si="9"/>
        <v>27</v>
      </c>
      <c r="AF35">
        <f t="shared" si="10"/>
        <v>8</v>
      </c>
    </row>
    <row r="36" spans="27:32" x14ac:dyDescent="0.35">
      <c r="AA36" t="s">
        <v>69</v>
      </c>
      <c r="AB36" s="3">
        <f>SUMIFS(Data[Revenue],Data[Region],Region,Data[Month],CurMonth,Data[Year],CurYear,Data[Product Name],'Data Prep'!AA36)</f>
        <v>0</v>
      </c>
      <c r="AC36" s="3">
        <f>SUMIFS(Data[Revenue],Data[Region],Region,Data[Month],PrevMonth,Data[Year],PMYear,Data[Product Name],'Data Prep'!AA36)</f>
        <v>0</v>
      </c>
      <c r="AD36" s="2">
        <f t="shared" si="8"/>
        <v>0</v>
      </c>
      <c r="AE36">
        <f t="shared" si="9"/>
        <v>18</v>
      </c>
      <c r="AF36">
        <f t="shared" si="10"/>
        <v>17</v>
      </c>
    </row>
  </sheetData>
  <sortState xmlns:xlrd2="http://schemas.microsoft.com/office/spreadsheetml/2017/richdata2" ref="M3:P12">
    <sortCondition ref="N2:N12"/>
  </sortState>
  <phoneticPr fontId="2" type="noConversion"/>
  <conditionalFormatting sqref="E5:E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U3:U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98F3-617E-4382-A59C-02984B23F2A7}">
  <dimension ref="B4:R38"/>
  <sheetViews>
    <sheetView showGridLines="0" tabSelected="1" topLeftCell="A17" zoomScale="60" zoomScaleNormal="100" workbookViewId="0">
      <selection activeCell="U16" sqref="U16"/>
    </sheetView>
  </sheetViews>
  <sheetFormatPr defaultRowHeight="14.5" x14ac:dyDescent="0.35"/>
  <cols>
    <col min="1" max="1" width="4.1796875" customWidth="1"/>
    <col min="2" max="2" width="16.81640625" bestFit="1" customWidth="1"/>
    <col min="3" max="3" width="25.1796875" customWidth="1"/>
    <col min="4" max="4" width="20.81640625" bestFit="1" customWidth="1"/>
    <col min="12" max="12" width="4.26953125" customWidth="1"/>
    <col min="13" max="13" width="3.7265625" customWidth="1"/>
    <col min="14" max="14" width="6.54296875" customWidth="1"/>
    <col min="15" max="15" width="5.54296875" customWidth="1"/>
    <col min="16" max="16" width="20.1796875" customWidth="1"/>
    <col min="17" max="17" width="13.54296875" customWidth="1"/>
    <col min="18" max="18" width="18.26953125" customWidth="1"/>
  </cols>
  <sheetData>
    <row r="4" spans="2:18" ht="13.15" customHeight="1" x14ac:dyDescent="0.35"/>
    <row r="5" spans="2:18" ht="9" customHeight="1" x14ac:dyDescent="0.35"/>
    <row r="6" spans="2:18" ht="31" x14ac:dyDescent="0.7">
      <c r="B6" s="23" t="s">
        <v>112</v>
      </c>
      <c r="C6" s="26" t="s">
        <v>4</v>
      </c>
      <c r="D6" s="23" t="s">
        <v>126</v>
      </c>
      <c r="E6" s="25" t="str">
        <f>'Data Prep'!B13&amp;"?"</f>
        <v>September 2021?</v>
      </c>
    </row>
    <row r="13" spans="2:18" ht="9.65" customHeight="1" x14ac:dyDescent="0.35"/>
    <row r="14" spans="2:18" ht="18.649999999999999" customHeight="1" x14ac:dyDescent="0.35">
      <c r="P14" s="18" t="s">
        <v>105</v>
      </c>
      <c r="Q14" s="19" t="s">
        <v>46</v>
      </c>
      <c r="R14" s="19" t="s">
        <v>111</v>
      </c>
    </row>
    <row r="15" spans="2:18" ht="18.649999999999999" customHeight="1" x14ac:dyDescent="0.35">
      <c r="P15" s="16" t="str">
        <f>'Data Prep'!AI3</f>
        <v>Magic Sand</v>
      </c>
      <c r="Q15" s="17">
        <f>'Data Prep'!AJ3</f>
        <v>6523.92</v>
      </c>
      <c r="R15" s="17">
        <f>'Data Prep'!AK3</f>
        <v>3293.9400000000005</v>
      </c>
    </row>
    <row r="16" spans="2:18" ht="18.649999999999999" customHeight="1" x14ac:dyDescent="0.35">
      <c r="P16" s="16" t="str">
        <f>'Data Prep'!AI4</f>
        <v>Toy Robot</v>
      </c>
      <c r="Q16" s="17">
        <f>'Data Prep'!AJ4</f>
        <v>1533.4099999999999</v>
      </c>
      <c r="R16" s="17">
        <f>'Data Prep'!AK4</f>
        <v>1533.4099999999999</v>
      </c>
    </row>
    <row r="17" spans="2:18" ht="18.649999999999999" customHeight="1" x14ac:dyDescent="0.35">
      <c r="P17" s="16" t="str">
        <f>'Data Prep'!AI5</f>
        <v>Glass Marbles</v>
      </c>
      <c r="Q17" s="17">
        <f>'Data Prep'!AJ5</f>
        <v>1329.79</v>
      </c>
      <c r="R17" s="17">
        <f>'Data Prep'!AK5</f>
        <v>615.44000000000005</v>
      </c>
    </row>
    <row r="18" spans="2:18" ht="18.649999999999999" customHeight="1" x14ac:dyDescent="0.35">
      <c r="P18" s="16" t="str">
        <f>'Data Prep'!AI6</f>
        <v>Action Figure</v>
      </c>
      <c r="Q18" s="17">
        <f>'Data Prep'!AJ6</f>
        <v>1662.96</v>
      </c>
      <c r="R18" s="17">
        <f>'Data Prep'!AK6</f>
        <v>575.63999999999987</v>
      </c>
    </row>
    <row r="19" spans="2:18" ht="18.649999999999999" customHeight="1" x14ac:dyDescent="0.35">
      <c r="B19" s="27" t="str">
        <f>IF('Data Prep'!E6&gt;0,"  ↑","  ↓")</f>
        <v xml:space="preserve">  ↑</v>
      </c>
      <c r="C19" s="28" t="str">
        <f>IF('Data Prep'!E5&gt;0,"↑  ","↓  ")</f>
        <v xml:space="preserve">↑  </v>
      </c>
      <c r="P19" s="16" t="str">
        <f>'Data Prep'!AI7</f>
        <v>Splash Balls</v>
      </c>
      <c r="Q19" s="17">
        <f>'Data Prep'!AJ7</f>
        <v>836.07</v>
      </c>
      <c r="R19" s="17">
        <f>'Data Prep'!AK7</f>
        <v>440.51000000000005</v>
      </c>
    </row>
    <row r="20" spans="2:18" ht="18.649999999999999" customHeight="1" x14ac:dyDescent="0.35">
      <c r="B20" s="27"/>
      <c r="C20" s="28"/>
      <c r="P20" s="16" t="str">
        <f>'Data Prep'!AI8</f>
        <v>PlayDoh Toolkit</v>
      </c>
      <c r="Q20" s="17">
        <f>'Data Prep'!AJ8</f>
        <v>469.06</v>
      </c>
      <c r="R20" s="20">
        <f>'Data Prep'!AK8</f>
        <v>439.12</v>
      </c>
    </row>
    <row r="21" spans="2:18" ht="18.649999999999999" customHeight="1" x14ac:dyDescent="0.35">
      <c r="P21" s="16"/>
      <c r="Q21" s="16"/>
      <c r="R21" s="21">
        <f>SUM(R15:R20)</f>
        <v>6898.06</v>
      </c>
    </row>
    <row r="22" spans="2:18" ht="18.649999999999999" customHeight="1" x14ac:dyDescent="0.35">
      <c r="P22" s="16"/>
      <c r="Q22" s="16"/>
      <c r="R22" s="16"/>
    </row>
    <row r="23" spans="2:18" ht="18.649999999999999" customHeight="1" x14ac:dyDescent="0.35">
      <c r="P23" s="16"/>
      <c r="Q23" s="16"/>
      <c r="R23" s="16"/>
    </row>
    <row r="24" spans="2:18" ht="18.649999999999999" customHeight="1" x14ac:dyDescent="0.35">
      <c r="P24" s="16"/>
      <c r="Q24" s="16"/>
      <c r="R24" s="16"/>
    </row>
    <row r="25" spans="2:18" ht="11.5" customHeight="1" x14ac:dyDescent="0.35">
      <c r="P25" s="16"/>
      <c r="Q25" s="16"/>
      <c r="R25" s="16"/>
    </row>
    <row r="26" spans="2:18" ht="18.649999999999999" customHeight="1" x14ac:dyDescent="0.35">
      <c r="P26" s="18" t="s">
        <v>105</v>
      </c>
      <c r="Q26" s="19" t="s">
        <v>46</v>
      </c>
      <c r="R26" s="19" t="s">
        <v>111</v>
      </c>
    </row>
    <row r="27" spans="2:18" ht="18.649999999999999" customHeight="1" x14ac:dyDescent="0.35">
      <c r="P27" s="16" t="str">
        <f>'Data Prep'!AI12</f>
        <v>Rubik's Cube</v>
      </c>
      <c r="Q27" s="17">
        <f>'Data Prep'!AJ12</f>
        <v>1479.2599999999998</v>
      </c>
      <c r="R27" s="17">
        <f>'Data Prep'!AK12</f>
        <v>-2598.6999999999998</v>
      </c>
    </row>
    <row r="28" spans="2:18" ht="18.649999999999999" customHeight="1" x14ac:dyDescent="0.35">
      <c r="P28" s="16" t="str">
        <f>'Data Prep'!AI13</f>
        <v>Dino Egg</v>
      </c>
      <c r="Q28" s="17">
        <f>'Data Prep'!AJ13</f>
        <v>2659.58</v>
      </c>
      <c r="R28" s="17">
        <f>'Data Prep'!AK13</f>
        <v>-1241.8699999999999</v>
      </c>
    </row>
    <row r="29" spans="2:18" ht="18.649999999999999" customHeight="1" x14ac:dyDescent="0.35">
      <c r="P29" s="16" t="str">
        <f>'Data Prep'!AI14</f>
        <v>Animal Figures</v>
      </c>
      <c r="Q29" s="17">
        <f>'Data Prep'!AJ14</f>
        <v>1675.71</v>
      </c>
      <c r="R29" s="17">
        <f>'Data Prep'!AK14</f>
        <v>-1130.1300000000001</v>
      </c>
    </row>
    <row r="30" spans="2:18" ht="18.649999999999999" customHeight="1" x14ac:dyDescent="0.35">
      <c r="P30" s="16" t="str">
        <f>'Data Prep'!AI15</f>
        <v>Dart Gun</v>
      </c>
      <c r="Q30" s="17">
        <f>'Data Prep'!AJ15</f>
        <v>575.64</v>
      </c>
      <c r="R30" s="17">
        <f>'Data Prep'!AK15</f>
        <v>-687.57</v>
      </c>
    </row>
    <row r="31" spans="2:18" ht="18.649999999999999" customHeight="1" x14ac:dyDescent="0.35">
      <c r="P31" s="16" t="str">
        <f>'Data Prep'!AI16</f>
        <v>Nerf Gun</v>
      </c>
      <c r="Q31" s="17">
        <f>'Data Prep'!AJ16</f>
        <v>2018.9899999999998</v>
      </c>
      <c r="R31" s="17">
        <f>'Data Prep'!AK16</f>
        <v>-479.75999999999976</v>
      </c>
    </row>
    <row r="32" spans="2:18" ht="18.649999999999999" customHeight="1" x14ac:dyDescent="0.35">
      <c r="P32" s="16" t="str">
        <f>'Data Prep'!AI17</f>
        <v>Plush Pony</v>
      </c>
      <c r="Q32" s="17">
        <f>'Data Prep'!AJ17</f>
        <v>379.80999999999995</v>
      </c>
      <c r="R32" s="20">
        <f>'Data Prep'!AK17</f>
        <v>-419.78999999999996</v>
      </c>
    </row>
    <row r="33" spans="16:18" ht="18.649999999999999" customHeight="1" x14ac:dyDescent="0.35">
      <c r="P33" s="16"/>
      <c r="Q33" s="16"/>
      <c r="R33" s="22">
        <f>SUM(R27:R32)</f>
        <v>-6557.8199999999988</v>
      </c>
    </row>
    <row r="34" spans="16:18" ht="18.649999999999999" customHeight="1" x14ac:dyDescent="0.35">
      <c r="P34" s="16"/>
      <c r="Q34" s="16"/>
      <c r="R34" s="16"/>
    </row>
    <row r="35" spans="16:18" ht="18.649999999999999" customHeight="1" x14ac:dyDescent="0.35">
      <c r="P35" s="16"/>
      <c r="Q35" s="16"/>
      <c r="R35" s="16"/>
    </row>
    <row r="36" spans="16:18" ht="18.649999999999999" customHeight="1" x14ac:dyDescent="0.35">
      <c r="P36" s="16"/>
      <c r="Q36" s="16"/>
      <c r="R36" s="16"/>
    </row>
    <row r="37" spans="16:18" ht="18.649999999999999" customHeight="1" x14ac:dyDescent="0.35">
      <c r="P37" s="16"/>
      <c r="Q37" s="16"/>
      <c r="R37" s="16"/>
    </row>
    <row r="38" spans="16:18" ht="15.5" x14ac:dyDescent="0.35">
      <c r="P38" s="16"/>
      <c r="Q38" s="16"/>
      <c r="R38" s="16"/>
    </row>
  </sheetData>
  <sheetProtection selectLockedCells="1"/>
  <mergeCells count="2">
    <mergeCell ref="B19:B20"/>
    <mergeCell ref="C19:C20"/>
  </mergeCells>
  <conditionalFormatting sqref="R15:R20">
    <cfRule type="colorScale" priority="6">
      <colorScale>
        <cfvo type="min"/>
        <cfvo type="max"/>
        <color theme="0"/>
        <color theme="9" tint="0.39997558519241921"/>
      </colorScale>
    </cfRule>
  </conditionalFormatting>
  <conditionalFormatting sqref="R27:R32">
    <cfRule type="colorScale" priority="5">
      <colorScale>
        <cfvo type="min"/>
        <cfvo type="max"/>
        <color rgb="FFFF6565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DC10DCC-D1A1-408F-B30C-E15406E1AEAD}">
            <xm:f>'Data Prep'!$E$6&lt;0</xm:f>
            <x14:dxf>
              <font>
                <color rgb="FFC00000"/>
              </font>
            </x14:dxf>
          </x14:cfRule>
          <x14:cfRule type="expression" priority="4" id="{E79506F4-0916-4217-B74A-30D1A18DF0CA}">
            <xm:f>'Data Prep'!$E$6&gt;0</xm:f>
            <x14:dxf>
              <font>
                <color theme="9" tint="-0.24994659260841701"/>
              </font>
            </x14:dxf>
          </x14:cfRule>
          <xm:sqref>B19:B20</xm:sqref>
        </x14:conditionalFormatting>
        <x14:conditionalFormatting xmlns:xm="http://schemas.microsoft.com/office/excel/2006/main">
          <x14:cfRule type="expression" priority="1" id="{C4707C83-7367-46C6-8CA1-221B20162411}">
            <xm:f>'Data Prep'!$E$5&lt;0</xm:f>
            <x14:dxf>
              <font>
                <color rgb="FFC00000"/>
              </font>
            </x14:dxf>
          </x14:cfRule>
          <x14:cfRule type="expression" priority="2" id="{31DDFBFC-64BB-4BF9-8F74-F99CC0219A2A}">
            <xm:f>'Data Prep'!$E$5&gt;0</xm:f>
            <x14:dxf>
              <font>
                <color theme="9" tint="-0.24994659260841701"/>
              </font>
            </x14:dxf>
          </x14:cfRule>
          <xm:sqref>C19:C20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32A15-C3EC-481E-A461-92D5FFC43534}">
          <x14:formula1>
            <xm:f>'Data Prep'!$A$3:$A$5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workbookViewId="0"/>
  </sheetViews>
  <sheetFormatPr defaultRowHeight="14.5" x14ac:dyDescent="0.35"/>
  <sheetData>
    <row r="1" spans="1:10" x14ac:dyDescent="0.35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35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35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35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35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35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35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35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35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35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35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35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35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35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35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35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35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35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35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35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35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35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35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35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35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35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35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35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35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35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35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35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35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35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35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35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35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35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35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35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35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35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35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35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35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35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35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35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35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35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35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35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35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35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35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35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35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35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35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35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35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35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35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5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35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35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35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35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35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35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35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35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35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35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35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35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35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35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35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35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35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35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35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35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35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35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35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35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35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35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35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35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35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35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35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35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35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35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35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35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35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35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35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35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35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35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35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35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35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35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35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35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35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35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35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35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35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35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35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35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35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35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35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35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35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35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35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35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35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35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35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35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35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35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35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35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35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35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35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35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35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35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35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35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35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35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35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35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35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35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35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35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35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35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35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35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35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35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35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35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35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35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35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35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35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35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35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35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35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35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35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35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35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35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35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35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35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35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35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35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35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35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35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35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35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35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35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35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35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35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35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35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35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35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35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35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35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35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35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35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35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35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35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35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35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35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35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35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35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35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35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35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35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35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35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35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35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35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35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35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35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35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35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35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35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35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35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35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35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35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35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35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35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35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35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35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35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35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35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35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35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35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35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35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35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35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35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35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35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35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35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35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35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35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35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35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35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35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35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35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35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35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35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35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35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35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35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35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35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workbookViewId="0"/>
  </sheetViews>
  <sheetFormatPr defaultRowHeight="14.5" x14ac:dyDescent="0.35"/>
  <sheetData>
    <row r="1" spans="1:10" x14ac:dyDescent="0.35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35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35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35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35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35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35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35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35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35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35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35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35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35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35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35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35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35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35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35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35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35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35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35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35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35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35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35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35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35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35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35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35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35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35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35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35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35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35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35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35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35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35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35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35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35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35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35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35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35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35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35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35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35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35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35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35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35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35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35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35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35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35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5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35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35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35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35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35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35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35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35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35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35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35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35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35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35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35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35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35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35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35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35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35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35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35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35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35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35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35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35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35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35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35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35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35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35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35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35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35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35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35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35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35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35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35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35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35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35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35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35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35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35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35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35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35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35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35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35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35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35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35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35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35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35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35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35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35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35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35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35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35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35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35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35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35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35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35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35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35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35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35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35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35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35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35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35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35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35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35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35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35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35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35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35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35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35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35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35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35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35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35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35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35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35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35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35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35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35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35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35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35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35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35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35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35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35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35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35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35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35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35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35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35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35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35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35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35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35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35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35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35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35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35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35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35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35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35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35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35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35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35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35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35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35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35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35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35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35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35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35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35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35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35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35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35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35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35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35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35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35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35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35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35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35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35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35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35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35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35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35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35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35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35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35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35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35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35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35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35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35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35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35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35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35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35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35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35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35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35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35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35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35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35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35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35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35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35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35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Tue Nguyen</cp:lastModifiedBy>
  <dcterms:created xsi:type="dcterms:W3CDTF">2021-07-16T18:17:37Z</dcterms:created>
  <dcterms:modified xsi:type="dcterms:W3CDTF">2026-01-19T06:10:28Z</dcterms:modified>
</cp:coreProperties>
</file>
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CNT\Documents\"/>
    </mc:Choice>
  </mc:AlternateContent>
  <xr:revisionPtr revIDLastSave="0" documentId="8_{5525840B-A26C-4C8F-83ED-8D0A68717015}" xr6:coauthVersionLast="47" xr6:coauthVersionMax="47" xr10:uidLastSave="{00000000-0000-0000-0000-000000000000}"/>
  <bookViews>
    <workbookView xWindow="-110" yWindow="-110" windowWidth="19420" windowHeight="10300" xr2:uid="{D7EEC296-6F75-48A6-BCAF-CA370CA5AE72}"/>
  </bookViews>
  <sheets>
    <sheet name="Fan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E21" i="1"/>
  <c r="F21" i="1"/>
  <c r="D21" i="1"/>
  <c r="C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F15" i="1"/>
  <c r="E15" i="1"/>
</calcChain>
</file>

<file path=xl/sharedStrings.xml><?xml version="1.0" encoding="utf-8"?>
<sst xmlns="http://schemas.openxmlformats.org/spreadsheetml/2006/main" count="15" uniqueCount="15">
  <si>
    <t>Forecast</t>
  </si>
  <si>
    <t>Shaded area</t>
  </si>
  <si>
    <t>Year</t>
  </si>
  <si>
    <t>Historical</t>
  </si>
  <si>
    <t>Base case</t>
  </si>
  <si>
    <t>Best case</t>
  </si>
  <si>
    <t>Worst case</t>
  </si>
  <si>
    <t>Historical and forecasted Analyst Consensus &amp; Price Target of Johnson &amp; Johnson (JNJ)</t>
  </si>
  <si>
    <t>2010 - 2026</t>
  </si>
  <si>
    <t>CAGR</t>
  </si>
  <si>
    <t>CAGR = Compound Annual Growth Rate</t>
  </si>
  <si>
    <t>Minimum</t>
  </si>
  <si>
    <t>Low</t>
  </si>
  <si>
    <t>High</t>
  </si>
  <si>
    <t>HistShade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</si>
</sst>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rebuchet MS"/>
      <family val="2"/>
    </font>
    <font>
      <b/>
      <sz val="14"/>
      <name val="Trebuchet MS"/>
      <family val="2"/>
    </font>
    <font>
      <sz val="10"/>
      <color theme="1"/>
      <name val="Trebuchet MS"/>
      <family val="2"/>
    </font>
    <font>
      <sz val="8"/>
      <color theme="1"/>
      <name val="Trebuchet MS"/>
      <family val="2"/>
    </font>
    <font>
      <b/>
      <sz val="9"/>
      <color theme="1"/>
      <name val="Trebuchet MS"/>
      <family val="2"/>
    </font>
    <font>
      <b/>
      <sz val="10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164" fontId="0" fillId="0" borderId="0" xfId="1" applyNumberFormat="1" applyFont="1"/>
    <xf numFmtId="0" fontId="5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4" fontId="4" fillId="0" borderId="1" xfId="0" applyNumberFormat="1" applyFont="1" applyBorder="1"/>
    <xf numFmtId="3" fontId="4" fillId="0" borderId="1" xfId="0" applyNumberFormat="1" applyFont="1" applyBorder="1"/>
    <xf numFmtId="0" fontId="6" fillId="2" borderId="1" xfId="0" applyFont="1" applyFill="1" applyBorder="1" applyAlignment="1">
      <alignment horizontal="centerContinuous"/>
    </xf>
    <xf numFmtId="0" fontId="2" fillId="2" borderId="1" xfId="0" applyFont="1" applyFill="1" applyBorder="1" applyAlignment="1">
      <alignment horizontal="centerContinuous"/>
    </xf>
    <xf numFmtId="0" fontId="2" fillId="3" borderId="1" xfId="0" applyFont="1" applyFill="1" applyBorder="1" applyAlignment="1">
      <alignment horizontal="right"/>
    </xf>
    <xf numFmtId="0" fontId="4" fillId="4" borderId="1" xfId="0" applyFont="1" applyFill="1" applyBorder="1"/>
    <xf numFmtId="0" fontId="4" fillId="4" borderId="1" xfId="0" quotePrefix="1" applyFont="1" applyFill="1" applyBorder="1" applyAlignment="1">
      <alignment horizontal="right"/>
    </xf>
    <xf numFmtId="0" fontId="7" fillId="0" borderId="0" xfId="0" applyFont="1" applyAlignment="1">
      <alignment horizontal="right"/>
    </xf>
    <xf numFmtId="4" fontId="4" fillId="0" borderId="2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324620971235163E-2"/>
          <c:y val="1.7272078758004943E-2"/>
          <c:w val="0.91539916007887689"/>
          <c:h val="0.9207601447927859"/>
        </c:manualLayout>
      </c:layout>
      <c:areaChart>
        <c:grouping val="standard"/>
        <c:varyColors val="0"/>
        <c:ser>
          <c:idx val="4"/>
          <c:order val="4"/>
          <c:tx>
            <c:strRef>
              <c:f>'Fan Chart'!$G$3</c:f>
              <c:strCache>
                <c:ptCount val="1"/>
                <c:pt idx="0">
                  <c:v>Minimum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'Fan Chart'!$B$4:$B$20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'Fan Chart'!$G$4:$G$20</c:f>
              <c:numCache>
                <c:formatCode>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175</c:v>
                </c:pt>
                <c:pt idx="12">
                  <c:v>155</c:v>
                </c:pt>
                <c:pt idx="13">
                  <c:v>161</c:v>
                </c:pt>
                <c:pt idx="14">
                  <c:v>173</c:v>
                </c:pt>
                <c:pt idx="15">
                  <c:v>185</c:v>
                </c:pt>
                <c:pt idx="16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90-4247-AAC3-2300031D964B}"/>
            </c:ext>
          </c:extLst>
        </c:ser>
        <c:ser>
          <c:idx val="5"/>
          <c:order val="5"/>
          <c:tx>
            <c:strRef>
              <c:f>'Fan Chart'!$H$3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EE0000">
                <a:alpha val="25000"/>
              </a:srgbClr>
            </a:solidFill>
            <a:ln>
              <a:noFill/>
            </a:ln>
            <a:effectLst/>
          </c:spPr>
          <c:cat>
            <c:numRef>
              <c:f>'Fan Chart'!$B$4:$B$20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'Fan Chart'!$H$4:$H$20</c:f>
              <c:numCache>
                <c:formatCode>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24.120000000000005</c:v>
                </c:pt>
                <c:pt idx="13">
                  <c:v>27.550000000000011</c:v>
                </c:pt>
                <c:pt idx="14">
                  <c:v>22.210000000000008</c:v>
                </c:pt>
                <c:pt idx="15">
                  <c:v>23.449999999999989</c:v>
                </c:pt>
                <c:pt idx="16">
                  <c:v>27.22999999999999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90-4247-AAC3-2300031D964B}"/>
            </c:ext>
          </c:extLst>
        </c:ser>
        <c:ser>
          <c:idx val="6"/>
          <c:order val="6"/>
          <c:tx>
            <c:strRef>
              <c:f>'Fan Chart'!$I$3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00B050">
                <a:alpha val="25000"/>
              </a:srgbClr>
            </a:solidFill>
            <a:ln>
              <a:noFill/>
            </a:ln>
            <a:effectLst/>
          </c:spPr>
          <c:cat>
            <c:numRef>
              <c:f>'Fan Chart'!$B$4:$B$20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'Fan Chart'!$I$4:$I$20</c:f>
              <c:numCache>
                <c:formatCode>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18.879999999999995</c:v>
                </c:pt>
                <c:pt idx="13">
                  <c:v>21.449999999999989</c:v>
                </c:pt>
                <c:pt idx="14">
                  <c:v>25.789999999999992</c:v>
                </c:pt>
                <c:pt idx="15">
                  <c:v>23.550000000000011</c:v>
                </c:pt>
                <c:pt idx="16">
                  <c:v>28.77000000000001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90-4247-AAC3-2300031D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634847"/>
        <c:axId val="901635327"/>
      </c:areaChart>
      <c:areaChart>
        <c:grouping val="standard"/>
        <c:varyColors val="0"/>
        <c:ser>
          <c:idx val="8"/>
          <c:order val="8"/>
          <c:tx>
            <c:strRef>
              <c:f>'Fan Chart'!$J$3</c:f>
              <c:strCache>
                <c:ptCount val="1"/>
                <c:pt idx="0">
                  <c:v>HistShade</c:v>
                </c:pt>
              </c:strCache>
            </c:strRef>
          </c:tx>
          <c:spPr>
            <a:solidFill>
              <a:schemeClr val="bg1">
                <a:lumMod val="75000"/>
                <a:alpha val="25000"/>
              </a:schemeClr>
            </a:solidFill>
            <a:ln>
              <a:noFill/>
            </a:ln>
            <a:effectLst/>
          </c:spPr>
          <c:cat>
            <c:numRef>
              <c:f>'Fan Chart'!$B$4:$B$20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'Fan Chart'!$J$4:$J$20</c:f>
              <c:numCache>
                <c:formatCode>#,##0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90-4247-AAC3-2300031D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758927"/>
        <c:axId val="979758447"/>
      </c:areaChart>
      <c:lineChart>
        <c:grouping val="standard"/>
        <c:varyColors val="0"/>
        <c:ser>
          <c:idx val="0"/>
          <c:order val="0"/>
          <c:tx>
            <c:strRef>
              <c:f>'Fan Chart'!$C$3</c:f>
              <c:strCache>
                <c:ptCount val="1"/>
                <c:pt idx="0">
                  <c:v>Historical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'Fan Chart'!$B$4:$B$20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'Fan Chart'!$C$4:$C$20</c:f>
              <c:numCache>
                <c:formatCode>#,##0.00</c:formatCode>
                <c:ptCount val="17"/>
                <c:pt idx="0">
                  <c:v>44.15</c:v>
                </c:pt>
                <c:pt idx="1">
                  <c:v>52.14</c:v>
                </c:pt>
                <c:pt idx="2">
                  <c:v>69.48</c:v>
                </c:pt>
                <c:pt idx="3">
                  <c:v>95.01</c:v>
                </c:pt>
                <c:pt idx="4">
                  <c:v>105.07</c:v>
                </c:pt>
                <c:pt idx="5">
                  <c:v>116.3</c:v>
                </c:pt>
                <c:pt idx="6">
                  <c:v>114.45</c:v>
                </c:pt>
                <c:pt idx="7">
                  <c:v>147.36000000000001</c:v>
                </c:pt>
                <c:pt idx="8">
                  <c:v>129.53</c:v>
                </c:pt>
                <c:pt idx="9">
                  <c:v>144.96</c:v>
                </c:pt>
                <c:pt idx="10">
                  <c:v>159.94</c:v>
                </c:pt>
                <c:pt idx="11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0-4247-AAC3-2300031D964B}"/>
            </c:ext>
          </c:extLst>
        </c:ser>
        <c:ser>
          <c:idx val="1"/>
          <c:order val="1"/>
          <c:tx>
            <c:strRef>
              <c:f>'Fan Chart'!$D$3</c:f>
              <c:strCache>
                <c:ptCount val="1"/>
                <c:pt idx="0">
                  <c:v>Base case</c:v>
                </c:pt>
              </c:strCache>
            </c:strRef>
          </c:tx>
          <c:spPr>
            <a:ln w="31750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6"/>
              <c:layout>
                <c:manualLayout>
                  <c:x val="0"/>
                  <c:y val="-3.7582323486159974E-2"/>
                </c:manualLayout>
              </c:layout>
              <c:tx>
                <c:strRef>
                  <c:f>'Fan Chart'!$C$24</c:f>
                  <c:strCache>
                    <c:ptCount val="1"/>
                    <c:pt idx="0">
                      <c:v>Base case_x000d_(+4.8% CAGR)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{267B0583-3936-45F8-A7D0-9E795A484968}</c15:txfldGUID>
                      <c15:f>'Fan Chart'!$C$24</c15:f>
                      <c15:dlblFieldTableCache>
                        <c:ptCount val="1"/>
                        <c:pt idx="0">
                          <c:v>Base case_x000d_(+4.8% CAGR)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690-4247-AAC3-2300031D96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'Fan Chart'!$B$4:$B$20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'Fan Chart'!$D$4:$D$20</c:f>
              <c:numCache>
                <c:formatCode>#,##0.00</c:formatCode>
                <c:ptCount val="17"/>
                <c:pt idx="11">
                  <c:v>175</c:v>
                </c:pt>
                <c:pt idx="12">
                  <c:v>179.12</c:v>
                </c:pt>
                <c:pt idx="13">
                  <c:v>188.55</c:v>
                </c:pt>
                <c:pt idx="14">
                  <c:v>195.21</c:v>
                </c:pt>
                <c:pt idx="15">
                  <c:v>208.45</c:v>
                </c:pt>
                <c:pt idx="16">
                  <c:v>221.23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0-4247-AAC3-2300031D964B}"/>
            </c:ext>
          </c:extLst>
        </c:ser>
        <c:ser>
          <c:idx val="2"/>
          <c:order val="2"/>
          <c:tx>
            <c:strRef>
              <c:f>'Fan Chart'!$E$3</c:f>
              <c:strCache>
                <c:ptCount val="1"/>
                <c:pt idx="0">
                  <c:v>Best case</c:v>
                </c:pt>
              </c:strCache>
            </c:strRef>
          </c:tx>
          <c:spPr>
            <a:ln w="3175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6"/>
              <c:layout>
                <c:manualLayout>
                  <c:x val="0"/>
                  <c:y val="-3.7240389550930904E-2"/>
                </c:manualLayout>
              </c:layout>
              <c:tx>
                <c:strRef>
                  <c:f>'Fan Chart'!$C$25</c:f>
                  <c:strCache>
                    <c:ptCount val="1"/>
                    <c:pt idx="0">
                      <c:v>Best case_x000d_(+7.4% CAGR)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{E2D5AD20-14E7-488F-B165-832C1105270B}</c15:txfldGUID>
                      <c15:f>'Fan Chart'!$C$25</c15:f>
                      <c15:dlblFieldTableCache>
                        <c:ptCount val="1"/>
                        <c:pt idx="0">
                          <c:v>Best case_x000d_(+7.4% CAGR)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690-4247-AAC3-2300031D96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'Fan Chart'!$B$4:$B$20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'Fan Chart'!$E$4:$E$20</c:f>
              <c:numCache>
                <c:formatCode>#,##0.00</c:formatCode>
                <c:ptCount val="17"/>
                <c:pt idx="11">
                  <c:v>175</c:v>
                </c:pt>
                <c:pt idx="12">
                  <c:v>198</c:v>
                </c:pt>
                <c:pt idx="13">
                  <c:v>210</c:v>
                </c:pt>
                <c:pt idx="14">
                  <c:v>221</c:v>
                </c:pt>
                <c:pt idx="15">
                  <c:v>232</c:v>
                </c:pt>
                <c:pt idx="16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90-4247-AAC3-2300031D964B}"/>
            </c:ext>
          </c:extLst>
        </c:ser>
        <c:ser>
          <c:idx val="3"/>
          <c:order val="3"/>
          <c:tx>
            <c:strRef>
              <c:f>'Fan Chart'!$F$3</c:f>
              <c:strCache>
                <c:ptCount val="1"/>
                <c:pt idx="0">
                  <c:v>Worst case</c:v>
                </c:pt>
              </c:strCache>
            </c:strRef>
          </c:tx>
          <c:spPr>
            <a:ln w="31750" cap="rnd">
              <a:solidFill>
                <a:srgbClr val="EE000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6"/>
              <c:layout>
                <c:manualLayout>
                  <c:x val="0"/>
                  <c:y val="-3.4308867419941304E-2"/>
                </c:manualLayout>
              </c:layout>
              <c:tx>
                <c:strRef>
                  <c:f>'Fan Chart'!$C$26</c:f>
                  <c:strCache>
                    <c:ptCount val="1"/>
                    <c:pt idx="0">
                      <c:v>Worst case_x000d_(+2.1% CAGR)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{F45CEBC0-4E57-439E-A0E7-68BB1920CFC4}</c15:txfldGUID>
                      <c15:f>'Fan Chart'!$C$26</c15:f>
                      <c15:dlblFieldTableCache>
                        <c:ptCount val="1"/>
                        <c:pt idx="0">
                          <c:v>Worst case_x000d_(+2.1% CAGR)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690-4247-AAC3-2300031D96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EE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'Fan Chart'!$B$4:$B$20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'Fan Chart'!$F$4:$F$20</c:f>
              <c:numCache>
                <c:formatCode>#,##0.00</c:formatCode>
                <c:ptCount val="17"/>
                <c:pt idx="11">
                  <c:v>175</c:v>
                </c:pt>
                <c:pt idx="12">
                  <c:v>155</c:v>
                </c:pt>
                <c:pt idx="13">
                  <c:v>161</c:v>
                </c:pt>
                <c:pt idx="14">
                  <c:v>173</c:v>
                </c:pt>
                <c:pt idx="15">
                  <c:v>185</c:v>
                </c:pt>
                <c:pt idx="16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90-4247-AAC3-2300031D964B}"/>
            </c:ext>
          </c:extLst>
        </c:ser>
        <c:ser>
          <c:idx val="7"/>
          <c:order val="7"/>
          <c:tx>
            <c:strRef>
              <c:f>'Fan Chart'!$I$3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'Fan Chart'!$B$4:$B$20</c:f>
              <c:numCache>
                <c:formatCode>General</c:formatCod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</c:numCache>
            </c:numRef>
          </c:cat>
          <c:val>
            <c:numRef>
              <c:f>'Fan Chart'!$I$4:$I$20</c:f>
              <c:numCache>
                <c:formatCode>#,##0.00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18.879999999999995</c:v>
                </c:pt>
                <c:pt idx="13">
                  <c:v>21.449999999999989</c:v>
                </c:pt>
                <c:pt idx="14">
                  <c:v>25.789999999999992</c:v>
                </c:pt>
                <c:pt idx="15">
                  <c:v>23.550000000000011</c:v>
                </c:pt>
                <c:pt idx="16">
                  <c:v>28.77000000000001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90-4247-AAC3-2300031D9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634847"/>
        <c:axId val="901635327"/>
      </c:lineChart>
      <c:catAx>
        <c:axId val="901634847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635327"/>
        <c:crosses val="autoZero"/>
        <c:auto val="1"/>
        <c:lblAlgn val="ctr"/>
        <c:lblOffset val="100"/>
        <c:tickMarkSkip val="1"/>
        <c:noMultiLvlLbl val="0"/>
      </c:catAx>
      <c:valAx>
        <c:axId val="901635327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634847"/>
        <c:crosses val="autoZero"/>
        <c:crossBetween val="midCat"/>
      </c:valAx>
      <c:valAx>
        <c:axId val="979758447"/>
        <c:scaling>
          <c:orientation val="minMax"/>
          <c:max val="1"/>
        </c:scaling>
        <c:delete val="0"/>
        <c:axPos val="r"/>
        <c:numFmt formatCode="#,##0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758927"/>
        <c:crosses val="max"/>
        <c:crossBetween val="between"/>
      </c:valAx>
      <c:catAx>
        <c:axId val="9797589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975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319115</xdr:colOff>
      <xdr:row>5</xdr:row>
      <xdr:rowOff>28594</xdr:rowOff>
    </xdr:from>
    <xdr:ext cx="1534972" cy="226344"/>
    <xdr:sp macro="" textlink="$C$23">
      <xdr:nvSpPr>
        <xdr:cNvPr id="3" name="TextBox 2">
          <a:extLst>
            <a:ext uri="{FF2B5EF4-FFF2-40B4-BE49-F238E27FC236}">
              <a16:creationId xmlns:a16="http://schemas.microsoft.com/office/drawing/2014/main" id="{36A5460D-EA14-47F5-ACDA-166B3CEC6D87}"/>
            </a:ext>
          </a:extLst>
        </xdr:cNvPr>
        <xdr:cNvSpPr txBox="1"/>
      </xdr:nvSpPr>
      <xdr:spPr>
        <a:xfrm>
          <a:off x="8396315" y="1114444"/>
          <a:ext cx="1534972" cy="2263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6D8193B8-32F0-459A-92CE-0F10C6B5A623}" type="TxLink">
            <a:rPr lang="en-US" sz="900" b="1" i="0" u="none" strike="noStrike">
              <a:solidFill>
                <a:schemeClr val="bg1">
                  <a:lumMod val="65000"/>
                </a:schemeClr>
              </a:solidFill>
              <a:latin typeface="Trebuchet MS" panose="020B0603020202020204" pitchFamily="34" charset="0"/>
              <a:cs typeface="Calibri"/>
            </a:rPr>
            <a:pPr/>
            <a:t>Historical (+13.3% CAGR)</a:t>
          </a:fld>
          <a:endParaRPr lang="en-US" sz="900" b="1">
            <a:solidFill>
              <a:schemeClr val="bg1">
                <a:lumMod val="65000"/>
              </a:schemeClr>
            </a:solidFill>
            <a:latin typeface="Trebuchet MS" panose="020B0603020202020204" pitchFamily="34" charset="0"/>
          </a:endParaRPr>
        </a:p>
      </xdr:txBody>
    </xdr:sp>
    <xdr:clientData/>
  </xdr:oneCellAnchor>
  <xdr:oneCellAnchor>
    <xdr:from>
      <xdr:col>21</xdr:col>
      <xdr:colOff>209600</xdr:colOff>
      <xdr:row>5</xdr:row>
      <xdr:rowOff>9544</xdr:rowOff>
    </xdr:from>
    <xdr:ext cx="809576" cy="226344"/>
    <xdr:sp macro="" textlink="$C$23">
      <xdr:nvSpPr>
        <xdr:cNvPr id="4" name="TextBox 3">
          <a:extLst>
            <a:ext uri="{FF2B5EF4-FFF2-40B4-BE49-F238E27FC236}">
              <a16:creationId xmlns:a16="http://schemas.microsoft.com/office/drawing/2014/main" id="{AD0D93E1-8E18-4012-8DC9-C87D39D7D132}"/>
            </a:ext>
          </a:extLst>
        </xdr:cNvPr>
        <xdr:cNvSpPr txBox="1"/>
      </xdr:nvSpPr>
      <xdr:spPr>
        <a:xfrm>
          <a:off x="12554000" y="1095394"/>
          <a:ext cx="809576" cy="2263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 b="1" i="0" u="none" strike="noStrike">
              <a:solidFill>
                <a:schemeClr val="bg1">
                  <a:lumMod val="65000"/>
                </a:schemeClr>
              </a:solidFill>
              <a:latin typeface="Trebuchet MS" panose="020B0603020202020204" pitchFamily="34" charset="0"/>
              <a:cs typeface="Calibri"/>
            </a:rPr>
            <a:t>Forecasted</a:t>
          </a:r>
          <a:endParaRPr lang="en-US" sz="900" b="1">
            <a:solidFill>
              <a:schemeClr val="bg1">
                <a:lumMod val="65000"/>
              </a:schemeClr>
            </a:solidFill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11</xdr:col>
      <xdr:colOff>71435</xdr:colOff>
      <xdr:row>6</xdr:row>
      <xdr:rowOff>66675</xdr:rowOff>
    </xdr:from>
    <xdr:to>
      <xdr:col>24</xdr:col>
      <xdr:colOff>28575</xdr:colOff>
      <xdr:row>26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2CF304-871F-F0CE-F65E-A3BBD8820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D981-9AF5-4CD4-9956-2B73F1231057}">
  <dimension ref="B2:L30"/>
  <sheetViews>
    <sheetView showGridLines="0" tabSelected="1" zoomScale="58" zoomScaleNormal="100" workbookViewId="0">
      <selection activeCell="R35" sqref="R35"/>
    </sheetView>
  </sheetViews>
  <sheetFormatPr defaultRowHeight="14.5" x14ac:dyDescent="0.35"/>
  <cols>
    <col min="1" max="1" width="2.81640625" customWidth="1"/>
    <col min="2" max="2" width="5.54296875" customWidth="1"/>
    <col min="4" max="10" width="9.54296875" customWidth="1"/>
  </cols>
  <sheetData>
    <row r="2" spans="2:12" x14ac:dyDescent="0.35">
      <c r="B2" s="5"/>
      <c r="C2" s="5"/>
      <c r="D2" s="9" t="s">
        <v>0</v>
      </c>
      <c r="E2" s="10"/>
      <c r="F2" s="10"/>
      <c r="G2" s="9" t="s">
        <v>1</v>
      </c>
      <c r="H2" s="10"/>
      <c r="I2" s="10"/>
      <c r="J2" s="10"/>
    </row>
    <row r="3" spans="2:12" ht="19" x14ac:dyDescent="0.45"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6" t="s">
        <v>11</v>
      </c>
      <c r="H3" s="6" t="s">
        <v>12</v>
      </c>
      <c r="I3" s="6" t="s">
        <v>13</v>
      </c>
      <c r="J3" s="6" t="s">
        <v>14</v>
      </c>
      <c r="L3" s="1" t="s">
        <v>7</v>
      </c>
    </row>
    <row r="4" spans="2:12" ht="19" x14ac:dyDescent="0.45">
      <c r="B4" s="12">
        <v>2010</v>
      </c>
      <c r="C4" s="7">
        <v>44.15</v>
      </c>
      <c r="D4" s="7"/>
      <c r="E4" s="7"/>
      <c r="F4" s="7"/>
      <c r="G4" s="7">
        <f>MIN(D4:F4)</f>
        <v>0</v>
      </c>
      <c r="H4" s="7">
        <f>D4-F4</f>
        <v>0</v>
      </c>
      <c r="I4" s="7">
        <f>E4-D4</f>
        <v>0</v>
      </c>
      <c r="J4" s="8">
        <v>1</v>
      </c>
      <c r="K4" s="1"/>
      <c r="L4" s="2" t="s">
        <v>8</v>
      </c>
    </row>
    <row r="5" spans="2:12" x14ac:dyDescent="0.35">
      <c r="B5" s="13">
        <v>2011</v>
      </c>
      <c r="C5" s="7">
        <v>52.14</v>
      </c>
      <c r="D5" s="7"/>
      <c r="E5" s="7"/>
      <c r="F5" s="7"/>
      <c r="G5" s="7">
        <f t="shared" ref="G5:G20" si="0">MIN(D5:F5)</f>
        <v>0</v>
      </c>
      <c r="H5" s="7">
        <f t="shared" ref="H5:H20" si="1">D5-F5</f>
        <v>0</v>
      </c>
      <c r="I5" s="7">
        <f t="shared" ref="I5:I20" si="2">E5-D5</f>
        <v>0</v>
      </c>
      <c r="J5" s="8">
        <v>1</v>
      </c>
      <c r="K5" s="2"/>
    </row>
    <row r="6" spans="2:12" x14ac:dyDescent="0.35">
      <c r="B6" s="13">
        <v>2012</v>
      </c>
      <c r="C6" s="7">
        <v>69.48</v>
      </c>
      <c r="D6" s="7"/>
      <c r="E6" s="7"/>
      <c r="F6" s="7"/>
      <c r="G6" s="7">
        <f t="shared" si="0"/>
        <v>0</v>
      </c>
      <c r="H6" s="7">
        <f t="shared" si="1"/>
        <v>0</v>
      </c>
      <c r="I6" s="7">
        <f t="shared" si="2"/>
        <v>0</v>
      </c>
      <c r="J6" s="8">
        <v>1</v>
      </c>
    </row>
    <row r="7" spans="2:12" x14ac:dyDescent="0.35">
      <c r="B7" s="13">
        <v>2013</v>
      </c>
      <c r="C7" s="7">
        <v>95.01</v>
      </c>
      <c r="D7" s="7"/>
      <c r="E7" s="7"/>
      <c r="F7" s="7"/>
      <c r="G7" s="7">
        <f t="shared" si="0"/>
        <v>0</v>
      </c>
      <c r="H7" s="7">
        <f t="shared" si="1"/>
        <v>0</v>
      </c>
      <c r="I7" s="7">
        <f t="shared" si="2"/>
        <v>0</v>
      </c>
      <c r="J7" s="8">
        <v>1</v>
      </c>
    </row>
    <row r="8" spans="2:12" x14ac:dyDescent="0.35">
      <c r="B8" s="13">
        <v>2014</v>
      </c>
      <c r="C8" s="7">
        <v>105.07</v>
      </c>
      <c r="D8" s="7"/>
      <c r="E8" s="7"/>
      <c r="F8" s="7"/>
      <c r="G8" s="7">
        <f t="shared" si="0"/>
        <v>0</v>
      </c>
      <c r="H8" s="7">
        <f t="shared" si="1"/>
        <v>0</v>
      </c>
      <c r="I8" s="7">
        <f t="shared" si="2"/>
        <v>0</v>
      </c>
      <c r="J8" s="8">
        <v>1</v>
      </c>
    </row>
    <row r="9" spans="2:12" x14ac:dyDescent="0.35">
      <c r="B9" s="13">
        <v>2015</v>
      </c>
      <c r="C9" s="7">
        <v>116.3</v>
      </c>
      <c r="D9" s="7"/>
      <c r="E9" s="7"/>
      <c r="F9" s="7"/>
      <c r="G9" s="7">
        <f t="shared" si="0"/>
        <v>0</v>
      </c>
      <c r="H9" s="7">
        <f t="shared" si="1"/>
        <v>0</v>
      </c>
      <c r="I9" s="7">
        <f t="shared" si="2"/>
        <v>0</v>
      </c>
      <c r="J9" s="8">
        <v>1</v>
      </c>
    </row>
    <row r="10" spans="2:12" x14ac:dyDescent="0.35">
      <c r="B10" s="13">
        <v>2016</v>
      </c>
      <c r="C10" s="7">
        <v>114.45</v>
      </c>
      <c r="D10" s="7"/>
      <c r="E10" s="7"/>
      <c r="F10" s="7"/>
      <c r="G10" s="7">
        <f t="shared" si="0"/>
        <v>0</v>
      </c>
      <c r="H10" s="7">
        <f t="shared" si="1"/>
        <v>0</v>
      </c>
      <c r="I10" s="7">
        <f t="shared" si="2"/>
        <v>0</v>
      </c>
      <c r="J10" s="8">
        <v>1</v>
      </c>
    </row>
    <row r="11" spans="2:12" x14ac:dyDescent="0.35">
      <c r="B11" s="13">
        <v>2017</v>
      </c>
      <c r="C11" s="7">
        <v>147.36000000000001</v>
      </c>
      <c r="D11" s="7"/>
      <c r="E11" s="7"/>
      <c r="F11" s="7"/>
      <c r="G11" s="7">
        <f t="shared" si="0"/>
        <v>0</v>
      </c>
      <c r="H11" s="7">
        <f t="shared" si="1"/>
        <v>0</v>
      </c>
      <c r="I11" s="7">
        <f t="shared" si="2"/>
        <v>0</v>
      </c>
      <c r="J11" s="8">
        <v>1</v>
      </c>
    </row>
    <row r="12" spans="2:12" x14ac:dyDescent="0.35">
      <c r="B12" s="13">
        <v>2018</v>
      </c>
      <c r="C12" s="7">
        <v>129.53</v>
      </c>
      <c r="D12" s="7"/>
      <c r="E12" s="7"/>
      <c r="F12" s="7"/>
      <c r="G12" s="7">
        <f t="shared" si="0"/>
        <v>0</v>
      </c>
      <c r="H12" s="7">
        <f t="shared" si="1"/>
        <v>0</v>
      </c>
      <c r="I12" s="7">
        <f t="shared" si="2"/>
        <v>0</v>
      </c>
      <c r="J12" s="8">
        <v>1</v>
      </c>
    </row>
    <row r="13" spans="2:12" x14ac:dyDescent="0.35">
      <c r="B13" s="13">
        <v>2019</v>
      </c>
      <c r="C13" s="7">
        <v>144.96</v>
      </c>
      <c r="D13" s="7"/>
      <c r="E13" s="7"/>
      <c r="F13" s="7"/>
      <c r="G13" s="7">
        <f t="shared" si="0"/>
        <v>0</v>
      </c>
      <c r="H13" s="7">
        <f t="shared" si="1"/>
        <v>0</v>
      </c>
      <c r="I13" s="7">
        <f t="shared" si="2"/>
        <v>0</v>
      </c>
      <c r="J13" s="8">
        <v>1</v>
      </c>
    </row>
    <row r="14" spans="2:12" x14ac:dyDescent="0.35">
      <c r="B14" s="13">
        <v>2020</v>
      </c>
      <c r="C14" s="7">
        <v>159.94</v>
      </c>
      <c r="D14" s="7"/>
      <c r="E14" s="7"/>
      <c r="F14" s="7"/>
      <c r="G14" s="7">
        <f t="shared" si="0"/>
        <v>0</v>
      </c>
      <c r="H14" s="7">
        <f t="shared" si="1"/>
        <v>0</v>
      </c>
      <c r="I14" s="7">
        <f t="shared" si="2"/>
        <v>0</v>
      </c>
      <c r="J14" s="8">
        <v>1</v>
      </c>
    </row>
    <row r="15" spans="2:12" x14ac:dyDescent="0.35">
      <c r="B15" s="13">
        <v>2021</v>
      </c>
      <c r="C15" s="15">
        <v>175</v>
      </c>
      <c r="D15" s="7">
        <v>175</v>
      </c>
      <c r="E15" s="7">
        <f>C15</f>
        <v>175</v>
      </c>
      <c r="F15" s="7">
        <f>C15</f>
        <v>175</v>
      </c>
      <c r="G15" s="7">
        <f t="shared" si="0"/>
        <v>175</v>
      </c>
      <c r="H15" s="7">
        <f t="shared" si="1"/>
        <v>0</v>
      </c>
      <c r="I15" s="7">
        <f t="shared" si="2"/>
        <v>0</v>
      </c>
      <c r="J15" s="8">
        <v>1</v>
      </c>
    </row>
    <row r="16" spans="2:12" x14ac:dyDescent="0.35">
      <c r="B16" s="13">
        <v>2022</v>
      </c>
      <c r="C16" s="7"/>
      <c r="D16" s="7">
        <v>179.12</v>
      </c>
      <c r="E16" s="7">
        <v>198</v>
      </c>
      <c r="F16" s="7">
        <v>155</v>
      </c>
      <c r="G16" s="7">
        <f t="shared" si="0"/>
        <v>155</v>
      </c>
      <c r="H16" s="7">
        <f t="shared" si="1"/>
        <v>24.120000000000005</v>
      </c>
      <c r="I16" s="7">
        <f t="shared" si="2"/>
        <v>18.879999999999995</v>
      </c>
      <c r="J16" s="8"/>
    </row>
    <row r="17" spans="2:12" x14ac:dyDescent="0.35">
      <c r="B17" s="13">
        <v>2023</v>
      </c>
      <c r="C17" s="7"/>
      <c r="D17" s="7">
        <v>188.55</v>
      </c>
      <c r="E17" s="7">
        <v>210</v>
      </c>
      <c r="F17" s="7">
        <v>161</v>
      </c>
      <c r="G17" s="7">
        <f t="shared" si="0"/>
        <v>161</v>
      </c>
      <c r="H17" s="7">
        <f t="shared" si="1"/>
        <v>27.550000000000011</v>
      </c>
      <c r="I17" s="7">
        <f t="shared" si="2"/>
        <v>21.449999999999989</v>
      </c>
      <c r="J17" s="8"/>
    </row>
    <row r="18" spans="2:12" x14ac:dyDescent="0.35">
      <c r="B18" s="13">
        <v>2024</v>
      </c>
      <c r="C18" s="7"/>
      <c r="D18" s="7">
        <v>195.21</v>
      </c>
      <c r="E18" s="7">
        <v>221</v>
      </c>
      <c r="F18" s="7">
        <v>173</v>
      </c>
      <c r="G18" s="7">
        <f t="shared" si="0"/>
        <v>173</v>
      </c>
      <c r="H18" s="7">
        <f t="shared" si="1"/>
        <v>22.210000000000008</v>
      </c>
      <c r="I18" s="7">
        <f t="shared" si="2"/>
        <v>25.789999999999992</v>
      </c>
      <c r="J18" s="8"/>
    </row>
    <row r="19" spans="2:12" x14ac:dyDescent="0.35">
      <c r="B19" s="13">
        <v>2025</v>
      </c>
      <c r="C19" s="7"/>
      <c r="D19" s="7">
        <v>208.45</v>
      </c>
      <c r="E19" s="7">
        <v>232</v>
      </c>
      <c r="F19" s="7">
        <v>185</v>
      </c>
      <c r="G19" s="7">
        <f t="shared" si="0"/>
        <v>185</v>
      </c>
      <c r="H19" s="7">
        <f t="shared" si="1"/>
        <v>23.449999999999989</v>
      </c>
      <c r="I19" s="7">
        <f t="shared" si="2"/>
        <v>23.550000000000011</v>
      </c>
      <c r="J19" s="8"/>
    </row>
    <row r="20" spans="2:12" x14ac:dyDescent="0.35">
      <c r="B20" s="13">
        <v>2026</v>
      </c>
      <c r="C20" s="7"/>
      <c r="D20" s="7">
        <v>221.23</v>
      </c>
      <c r="E20" s="7">
        <v>250</v>
      </c>
      <c r="F20" s="7">
        <v>194</v>
      </c>
      <c r="G20" s="7">
        <f t="shared" si="0"/>
        <v>194</v>
      </c>
      <c r="H20" s="7">
        <f t="shared" si="1"/>
        <v>27.22999999999999</v>
      </c>
      <c r="I20" s="7">
        <f t="shared" si="2"/>
        <v>28.77000000000001</v>
      </c>
      <c r="J20" s="8"/>
    </row>
    <row r="21" spans="2:12" x14ac:dyDescent="0.35">
      <c r="B21" s="14" t="s">
        <v>9</v>
      </c>
      <c r="C21" s="3">
        <f>(C15/C4)^(1/11)-1</f>
        <v>0.13337438901301613</v>
      </c>
      <c r="D21" s="3">
        <f>(D20/D15)^(1/5)-1</f>
        <v>4.7999786397527222E-2</v>
      </c>
      <c r="E21" s="3">
        <f t="shared" ref="E21:F21" si="3">(E20/E15)^(1/5)-1</f>
        <v>7.3940923785779322E-2</v>
      </c>
      <c r="F21" s="3">
        <f t="shared" si="3"/>
        <v>2.0828382125259726E-2</v>
      </c>
    </row>
    <row r="23" spans="2:12" x14ac:dyDescent="0.35">
      <c r="C23" t="str">
        <f xml:space="preserve"> C3 &amp; " (" &amp; TEXT(C21,"+0.0%;-0.0%;-") &amp; " CAGR)"</f>
        <v>Historical (+13.3% CAGR)</v>
      </c>
    </row>
    <row r="24" spans="2:12" x14ac:dyDescent="0.35">
      <c r="C24" t="str">
        <f xml:space="preserve"> D3 &amp; CHAR(13) &amp;"(" &amp; TEXT(D21,"+0.0%;-0.0%;-") &amp; " CAGR)"</f>
        <v>Base case_x000D_(+4.8% CAGR)</v>
      </c>
    </row>
    <row r="25" spans="2:12" x14ac:dyDescent="0.35">
      <c r="C25" t="str">
        <f xml:space="preserve"> E3 &amp; CHAR(13) &amp;"(" &amp; TEXT(E21,"+0.0%;-0.0%;-") &amp; " CAGR)"</f>
        <v>Best case_x000D_(+7.4% CAGR)</v>
      </c>
    </row>
    <row r="26" spans="2:12" x14ac:dyDescent="0.35">
      <c r="C26" t="str">
        <f xml:space="preserve"> F3 &amp; CHAR(13) &amp;"(" &amp; TEXT(F21,"+0.0%;-0.0%;-") &amp; " CAGR)"</f>
        <v>Worst case_x000D_(+2.1% CAGR)</v>
      </c>
      <c r="K26" s="4"/>
    </row>
    <row r="27" spans="2:12" x14ac:dyDescent="0.35">
      <c r="K27" s="4"/>
      <c r="L27" s="4"/>
    </row>
    <row r="28" spans="2:12" x14ac:dyDescent="0.35">
      <c r="L28" s="4" t="s">
        <v>10</v>
      </c>
    </row>
    <row r="30" spans="2:12" x14ac:dyDescent="0.35">
      <c r="C30" s="3"/>
      <c r="D30" s="3"/>
      <c r="E30" s="3"/>
      <c r="F30" s="3"/>
      <c r="G30" s="3"/>
      <c r="H30" s="3"/>
      <c r="I30" s="3"/>
      <c r="J30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</dc:creator>
  <cp:lastModifiedBy>Tue Nguyen</cp:lastModifiedBy>
  <dcterms:created xsi:type="dcterms:W3CDTF">2022-05-10T07:21:29Z</dcterms:created>
  <dcterms:modified xsi:type="dcterms:W3CDTF">2026-01-12T22:52:58Z</dcterms:modified>
</cp:coreProperties>
</file>
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publishItems="1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13_ncr:1_{ADEF52C0-4672-4BE1-A6C5-F05E61A86ABF}" xr6:coauthVersionLast="47" xr6:coauthVersionMax="47" xr10:uidLastSave="{00000000-0000-0000-0000-000000000000}"/>
  <bookViews>
    <workbookView xWindow="-110" yWindow="-110" windowWidth="19420" windowHeight="10300" activeTab="2" xr2:uid="{DB438AB8-0F60-4224-9C67-97043B861F24}"/>
  </bookViews>
  <sheets>
    <sheet name="Data" sheetId="1" r:id="rId1"/>
    <sheet name="Data Prep" sheetId="3" r:id="rId2"/>
    <sheet name="Dashboard" sheetId="4" r:id="rId3"/>
  </sheets>
  <definedNames>
    <definedName name="_xlnm._FilterDatabase" localSheetId="0" hidden="1">Data!$A$1:$F$1919</definedName>
    <definedName name="_xlnm._FilterDatabase" localSheetId="1" hidden="1">'Data Prep'!$D$2:$E$12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ShowAllWorksheets" guid="{A1F01C08-243B-48FC-94A8-F102AEB1706D}" maximized="1" xWindow="-8" yWindow="-8" windowWidth="1936" windowHeight="1056" activeSheetId="8" showFormulaBar="0"/>
    <customWorkbookView name="Dashboard" guid="{948164EF-B902-4A6C-8E3C-A935061C5153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3" l="1"/>
  <c r="T2" i="3" s="1"/>
  <c r="B6" i="4" a="1"/>
  <c r="B6" i="4" s="1"/>
  <c r="B3" i="3" s="1"/>
  <c r="S11" i="3" s="1"/>
  <c r="D15" i="3"/>
  <c r="F3" i="3" l="1"/>
  <c r="F11" i="3"/>
  <c r="F10" i="3"/>
  <c r="F12" i="3"/>
  <c r="F9" i="3"/>
  <c r="F8" i="3"/>
  <c r="F7" i="3"/>
  <c r="F6" i="3"/>
  <c r="F5" i="3"/>
  <c r="F4" i="3"/>
  <c r="S9" i="3"/>
  <c r="S50" i="3"/>
  <c r="S26" i="3"/>
  <c r="S49" i="3"/>
  <c r="S25" i="3"/>
  <c r="S17" i="3"/>
  <c r="S48" i="3"/>
  <c r="S16" i="3"/>
  <c r="S39" i="3"/>
  <c r="S15" i="3"/>
  <c r="S30" i="3"/>
  <c r="S6" i="3"/>
  <c r="S45" i="3"/>
  <c r="S37" i="3"/>
  <c r="S29" i="3"/>
  <c r="S21" i="3"/>
  <c r="S13" i="3"/>
  <c r="S5" i="3"/>
  <c r="S34" i="3"/>
  <c r="S10" i="3"/>
  <c r="S33" i="3"/>
  <c r="S32" i="3"/>
  <c r="S8" i="3"/>
  <c r="S31" i="3"/>
  <c r="S23" i="3"/>
  <c r="S38" i="3"/>
  <c r="S22" i="3"/>
  <c r="S14" i="3"/>
  <c r="S44" i="3"/>
  <c r="S36" i="3"/>
  <c r="S28" i="3"/>
  <c r="S20" i="3"/>
  <c r="S12" i="3"/>
  <c r="S4" i="3"/>
  <c r="S42" i="3"/>
  <c r="S18" i="3"/>
  <c r="S41" i="3"/>
  <c r="S40" i="3"/>
  <c r="S24" i="3"/>
  <c r="S47" i="3"/>
  <c r="S7" i="3"/>
  <c r="S46" i="3"/>
  <c r="S3" i="3"/>
  <c r="S43" i="3"/>
  <c r="S35" i="3"/>
  <c r="S27" i="3"/>
  <c r="S19" i="3"/>
  <c r="P4" i="3" l="1"/>
  <c r="R4" i="3" s="1"/>
  <c r="T4" i="3" s="1"/>
  <c r="P5" i="3"/>
  <c r="R5" i="3" s="1"/>
  <c r="T5" i="3" s="1"/>
  <c r="P6" i="3"/>
  <c r="R6" i="3" s="1"/>
  <c r="T6" i="3" s="1"/>
  <c r="P7" i="3"/>
  <c r="R7" i="3" s="1"/>
  <c r="T7" i="3" s="1"/>
  <c r="P8" i="3"/>
  <c r="R8" i="3" s="1"/>
  <c r="T8" i="3" s="1"/>
  <c r="P9" i="3"/>
  <c r="R9" i="3" s="1"/>
  <c r="T9" i="3" s="1"/>
  <c r="P10" i="3"/>
  <c r="R10" i="3" s="1"/>
  <c r="T10" i="3" s="1"/>
  <c r="P11" i="3"/>
  <c r="R11" i="3" s="1"/>
  <c r="T11" i="3" s="1"/>
  <c r="P12" i="3"/>
  <c r="R12" i="3" s="1"/>
  <c r="T12" i="3" s="1"/>
  <c r="P13" i="3"/>
  <c r="R13" i="3" s="1"/>
  <c r="T13" i="3" s="1"/>
  <c r="P14" i="3"/>
  <c r="R14" i="3" s="1"/>
  <c r="T14" i="3" s="1"/>
  <c r="P15" i="3"/>
  <c r="R15" i="3" s="1"/>
  <c r="T15" i="3" s="1"/>
  <c r="P16" i="3"/>
  <c r="R16" i="3" s="1"/>
  <c r="T16" i="3" s="1"/>
  <c r="P17" i="3"/>
  <c r="R17" i="3" s="1"/>
  <c r="T17" i="3" s="1"/>
  <c r="P18" i="3"/>
  <c r="R18" i="3" s="1"/>
  <c r="T18" i="3" s="1"/>
  <c r="P19" i="3"/>
  <c r="R19" i="3" s="1"/>
  <c r="T19" i="3" s="1"/>
  <c r="P20" i="3"/>
  <c r="R20" i="3" s="1"/>
  <c r="T20" i="3" s="1"/>
  <c r="P21" i="3"/>
  <c r="R21" i="3" s="1"/>
  <c r="T21" i="3" s="1"/>
  <c r="P22" i="3"/>
  <c r="R22" i="3" s="1"/>
  <c r="T22" i="3" s="1"/>
  <c r="P23" i="3"/>
  <c r="R23" i="3" s="1"/>
  <c r="T23" i="3" s="1"/>
  <c r="P24" i="3"/>
  <c r="R24" i="3" s="1"/>
  <c r="T24" i="3" s="1"/>
  <c r="P25" i="3"/>
  <c r="R25" i="3" s="1"/>
  <c r="T25" i="3" s="1"/>
  <c r="P26" i="3"/>
  <c r="R26" i="3" s="1"/>
  <c r="T26" i="3" s="1"/>
  <c r="P27" i="3"/>
  <c r="R27" i="3" s="1"/>
  <c r="T27" i="3" s="1"/>
  <c r="P28" i="3"/>
  <c r="R28" i="3" s="1"/>
  <c r="T28" i="3" s="1"/>
  <c r="P29" i="3"/>
  <c r="R29" i="3" s="1"/>
  <c r="T29" i="3" s="1"/>
  <c r="P30" i="3"/>
  <c r="R30" i="3" s="1"/>
  <c r="T30" i="3" s="1"/>
  <c r="P31" i="3"/>
  <c r="R31" i="3" s="1"/>
  <c r="T31" i="3" s="1"/>
  <c r="P32" i="3"/>
  <c r="R32" i="3" s="1"/>
  <c r="T32" i="3" s="1"/>
  <c r="P33" i="3"/>
  <c r="R33" i="3" s="1"/>
  <c r="T33" i="3" s="1"/>
  <c r="P34" i="3"/>
  <c r="R34" i="3" s="1"/>
  <c r="T34" i="3" s="1"/>
  <c r="P35" i="3"/>
  <c r="R35" i="3" s="1"/>
  <c r="T35" i="3" s="1"/>
  <c r="P36" i="3"/>
  <c r="R36" i="3" s="1"/>
  <c r="T36" i="3" s="1"/>
  <c r="P37" i="3"/>
  <c r="R37" i="3" s="1"/>
  <c r="T37" i="3" s="1"/>
  <c r="P38" i="3"/>
  <c r="R38" i="3" s="1"/>
  <c r="T38" i="3" s="1"/>
  <c r="P39" i="3"/>
  <c r="R39" i="3" s="1"/>
  <c r="T39" i="3" s="1"/>
  <c r="P40" i="3"/>
  <c r="R40" i="3" s="1"/>
  <c r="T40" i="3" s="1"/>
  <c r="P41" i="3"/>
  <c r="R41" i="3" s="1"/>
  <c r="T41" i="3" s="1"/>
  <c r="P42" i="3"/>
  <c r="R42" i="3" s="1"/>
  <c r="T42" i="3" s="1"/>
  <c r="P43" i="3"/>
  <c r="R43" i="3" s="1"/>
  <c r="T43" i="3" s="1"/>
  <c r="P44" i="3"/>
  <c r="R44" i="3" s="1"/>
  <c r="T44" i="3" s="1"/>
  <c r="P45" i="3"/>
  <c r="R45" i="3" s="1"/>
  <c r="T45" i="3" s="1"/>
  <c r="P46" i="3"/>
  <c r="R46" i="3" s="1"/>
  <c r="T46" i="3" s="1"/>
  <c r="P47" i="3"/>
  <c r="R47" i="3" s="1"/>
  <c r="T47" i="3" s="1"/>
  <c r="P48" i="3"/>
  <c r="R48" i="3" s="1"/>
  <c r="T48" i="3" s="1"/>
  <c r="P49" i="3"/>
  <c r="R49" i="3" s="1"/>
  <c r="T49" i="3" s="1"/>
  <c r="P50" i="3"/>
  <c r="R50" i="3" s="1"/>
  <c r="T50" i="3" s="1"/>
  <c r="P3" i="3"/>
  <c r="R3" i="3" s="1"/>
  <c r="T3" i="3" s="1"/>
  <c r="M4" i="3"/>
  <c r="M5" i="3"/>
  <c r="M6" i="3"/>
  <c r="M3" i="3"/>
  <c r="L4" i="3"/>
  <c r="L5" i="3"/>
  <c r="L6" i="3"/>
  <c r="L3" i="3"/>
  <c r="H16" i="3"/>
  <c r="I9" i="3"/>
  <c r="I4" i="3"/>
  <c r="I8" i="3"/>
  <c r="I11" i="3"/>
  <c r="I6" i="3"/>
  <c r="I7" i="3"/>
  <c r="I12" i="3"/>
  <c r="I10" i="3"/>
  <c r="I3" i="3"/>
  <c r="I5" i="3"/>
  <c r="E7" i="3"/>
  <c r="E9" i="3"/>
  <c r="E4" i="3"/>
  <c r="E3" i="3"/>
  <c r="E12" i="3"/>
  <c r="E6" i="3"/>
  <c r="E8" i="3"/>
  <c r="E11" i="3"/>
  <c r="E10" i="3"/>
  <c r="E5" i="3"/>
  <c r="I16" i="3" l="1"/>
  <c r="I17" i="3" l="1"/>
  <c r="I1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<sst xmlns="http://schemas.openxmlformats.org/spreadsheetml/2006/main" count="3949" uniqueCount="81">
  <si>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</si>
  <si>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</si>
  <si>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</si>
  <si>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</si>
  <si>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</si>
  <si>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</si>
  <si>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</si>
  <si>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</si>
  <si>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</si>
  <si>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</si>
  <si>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</si>
  <si>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</si>
  <si>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</si>
  <si>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</si>
  <si>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</si>
  <si>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</si>
  <si>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</si>
  <si>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</si>
  <si>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</si>
  <si>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</si>
  <si>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</si>
  <si>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</si>
  <si>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</si>
  <si>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</si>
  <si>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</si>
  <si>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</si>
  <si>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</si>
  <si>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</si>
  <si>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</si>
  <si>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</si>
  <si>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</si>
  <si>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</si>
  <si>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</si>
  <si>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</si>
  <si>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</si>
  <si>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</si>
  <si>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</si>
  <si>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</si>
  <si>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</si>
  <si>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</si>
  <si>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</si>
  <si>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</si>
  <si>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</si>
  <si>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</si>
  <si>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</si>
  <si>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</si>
  <si>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</si>
  <si>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</si>
  <si>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</si>
  <si>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</si>
  <si>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</si>
  <si>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</si>
  <si>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</si>
  <si>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</si>
  <si>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</si>
  <si>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</si>
  <si>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</si>
  <si>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</si>
  <si>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</si>
  <si>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</si>
  <si>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</si>
  <si>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</si>
  <si>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</si>
  <si>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</si>
  <si>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</si>
  <si>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</si>
  <si>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</si>
  <si>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</si>
  <si>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</t>
  </si>
  <si>
    <t>AVG WAGE BY INDUSTRY</t>
  </si>
  <si>
    <t>EMPLOYEES BY INDUSTRY</t>
  </si>
  <si>
    <t>EMPLOYEES BY INDUSTRY (CLEAN)</t>
  </si>
  <si>
    <t>Others</t>
  </si>
  <si>
    <t>WAGE &amp; EMPLOYEE TRENDS</t>
  </si>
  <si>
    <t>COMPARISONS BY STATE</t>
  </si>
  <si>
    <t>Population</t>
  </si>
  <si>
    <t>Employees per 1000 Capita</t>
  </si>
  <si>
    <t>Average Wages</t>
  </si>
  <si>
    <t>MAP FILTER</t>
  </si>
  <si>
    <t>Metric: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</si>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</sst>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#,##0;&quot;$&quot;#,##0"/>
    <numFmt numFmtId="166" formatCode=";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3" borderId="0" xfId="0" applyFont="1" applyFill="1"/>
    <xf numFmtId="0" fontId="2" fillId="4" borderId="0" xfId="0" applyFont="1" applyFill="1" applyAlignment="1">
      <alignment horizontal="centerContinuous"/>
    </xf>
    <xf numFmtId="0" fontId="1" fillId="5" borderId="0" xfId="0" applyFont="1" applyFill="1"/>
    <xf numFmtId="0" fontId="2" fillId="6" borderId="0" xfId="0" applyFont="1" applyFill="1" applyAlignment="1">
      <alignment horizontal="centerContinuous"/>
    </xf>
    <xf numFmtId="1" fontId="0" fillId="0" borderId="0" xfId="0" applyNumberFormat="1"/>
    <xf numFmtId="165" fontId="0" fillId="0" borderId="0" xfId="0" applyNumberFormat="1"/>
    <xf numFmtId="0" fontId="4" fillId="7" borderId="0" xfId="0" applyFont="1" applyFill="1" applyAlignment="1">
      <alignment horizontal="center"/>
    </xf>
    <xf numFmtId="9" fontId="0" fillId="0" borderId="0" xfId="1" applyFont="1" applyAlignment="1">
      <alignment horizontal="left"/>
    </xf>
    <xf numFmtId="166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69999"/>
      <color rgb="FFB2DBD5"/>
      <color rgb="FFEE0000"/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3287242291871"/>
          <c:y val="8.5769980506822607E-2"/>
          <c:w val="0.84584893140577677"/>
          <c:h val="0.711605347577166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2760656</c:v>
                </c:pt>
                <c:pt idx="1">
                  <c:v>2781425</c:v>
                </c:pt>
                <c:pt idx="2">
                  <c:v>2815141</c:v>
                </c:pt>
                <c:pt idx="3">
                  <c:v>2677815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1-43C7-91C9-AA5FFA314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425833104"/>
        <c:axId val="1425840592"/>
      </c:barChart>
      <c:catAx>
        <c:axId val="14258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40592"/>
        <c:crosses val="autoZero"/>
        <c:auto val="1"/>
        <c:lblAlgn val="ctr"/>
        <c:lblOffset val="100"/>
        <c:noMultiLvlLbl val="0"/>
      </c:catAx>
      <c:valAx>
        <c:axId val="1425840592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Employees</a:t>
                </a:r>
              </a:p>
            </c:rich>
          </c:tx>
          <c:layout>
            <c:manualLayout>
              <c:xMode val="edge"/>
              <c:yMode val="edge"/>
              <c:x val="2.7338545381649672E-2"/>
              <c:y val="0.140691624073306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4089765328006"/>
          <c:y val="0.23333333333333334"/>
          <c:w val="0.84639459890522539"/>
          <c:h val="0.64444444444444449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75580.708333333328</c:v>
                </c:pt>
                <c:pt idx="1">
                  <c:v>79569.104166666672</c:v>
                </c:pt>
                <c:pt idx="2">
                  <c:v>83493.333333333328</c:v>
                </c:pt>
                <c:pt idx="3">
                  <c:v>93586.333333333328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5-4778-AB73-34DFD1F8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833104"/>
        <c:axId val="1425840592"/>
      </c:lineChart>
      <c:catAx>
        <c:axId val="1425833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840592"/>
        <c:crosses val="autoZero"/>
        <c:auto val="1"/>
        <c:lblAlgn val="ctr"/>
        <c:lblOffset val="100"/>
        <c:noMultiLvlLbl val="0"/>
      </c:catAx>
      <c:valAx>
        <c:axId val="1425840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Wage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4937916414293"/>
          <c:y val="4.4530314274617275E-2"/>
          <c:w val="0.37434485851723409"/>
          <c:h val="0.83849271564595629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D-445F-888A-0ECCDCEF21CB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D-445F-888A-0ECCDCEF21CB}"/>
              </c:ext>
            </c:extLst>
          </c:dPt>
          <c:cat>
            <c:strRef>
              <c:f>'Data Prep'!$H$16:$H$17</c:f>
              <c:strCache>
                <c:ptCount val="2"/>
                <c:pt idx="0">
                  <c:v>Information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2677815</c:v>
                </c:pt>
                <c:pt idx="1">
                  <c:v>113971524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D-445F-888A-0ECCDCEF2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50B-9C69-17AE9E3DF3A2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2-450B-9C69-17AE9E3D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74827776"/>
        <c:axId val="1774826528"/>
      </c:barChart>
      <c:catAx>
        <c:axId val="1774827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6528"/>
        <c:crosses val="autoZero"/>
        <c:auto val="1"/>
        <c:lblAlgn val="ctr"/>
        <c:lblOffset val="100"/>
        <c:noMultiLvlLbl val="0"/>
      </c:catAx>
      <c:valAx>
        <c:axId val="1774826528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8CBFE0DF-41C4-4E3C-8FEB-FE0C2E154297}">
          <cx:tx>
            <cx:txData>
              <cx:f>_xlchart.v5.2</cx:f>
              <cx:v>Average Wages</cx:v>
            </cx:txData>
          </cx:tx>
          <cx:spPr>
            <a:solidFill>
              <a:schemeClr val="bg1"/>
            </a:solidFill>
          </cx:spPr>
          <cx:dataId val="0"/>
          <cx:layoutPr>
            <cx:regionLabelLayout val="none"/>
            <cx:geography cultureLanguage="en-US" cultureRegion="US" attribution="Powered by Bing">
              <cx:geoCache provider="{E9337A44-BEBE-4D9F-B70C-5C5E7DAFC167}">
                <cx:binary>1H1pb9y40u5fCfL5ykNRXA/OvMBQUu9e4sRZ5ovQsR2J2kXt+vW3uh0ndqfnxBfH7wUaGWh6Ma0S
H1bVUwvpf98O/7pN77fmzZClef2v2+HPt1HTlP/644/6NrrPtvVZpm9NURffmrPbIvuj+PZN397/
cWe2vc7DPzCyyR+30dY098Pb//k3/LbwvtgUt9tGF/m79t6M1/d1mzb1f/ju6FdvtneZzj1dN0bf
Nvafb/8yyTavt/XbN/d5o5vxw1je//n22U+9ffPH4e/65b5vUhCtae9grEPOhJQCOTazGbaRJG/f
pEUefv/akviMONKmlHLBbAcL+/HeF9sMxr9Eor0827s7c1/X8Ej7/z8d+Ux++OL67Zvbos2b3byF
MIV/vr3JdXN/9+Z9s23u4eF1XbgPP+AWu4e4eb9/6j+ez/z//PvgA5iHg0+egHM4ab/76hdsPtzn
OTzg/f3jBL0COPRMECwlEpxiQmwCk/8UHMHOHOJgSpCQDqWEycd7P4DzIpGOo/Nk6AE8Hy5OEp71
ayuOOCOCcCw5Y4JQjpzn2Ehx5ghkg2ZRIQTj9gE2v5fnODCP4w5QWYMKnKDS/JVuv26z7eOyfQWV
wWcACMEMCbiC0fpVZQRBjoPB4mH6eN/vtuz3whzH5MdTHIDy1+YkQVnmd3qbvyYo8kzaUnKJJCVU
SHHgZMCOgWMRiEn4FqE9aA8O7gGYFwh0HJgfAw+AWZ6mDfvL6Kl4VWDIGZYOhsknEtwLYvi5EbNt
+wy0iUoG/p/ZvxixFwh0HJgfAw+A+evvk9SYWVoYffeKGoPFGZWU2tiRyHYevMczzw+0THCHYOEQ
cEKMsuem7AUCHQfmx8ADYGanacrOdV0XrdGPs/MKDgb8OuNgpojtgM1yKPj1p8jsCDPnDgO3/8MB
PbVlL5HoODQ/Rx5gc355kkrj3afbfmteky/LM7TjyoISIrENr55jw+kZYQCLYwugbqA0YO6eYvMS
iY5j83PkATaef5LYuAUEM7eNvm2bxyn671WH2GeUU5tyG9wJBut1QAM4cDdHgDM6JGYvlOY4NM8G
H6DjfjhNdLap/laYXL+ix3H4GQSSjElbAAt7IMdP7ZptyzNgABhI3B47RzwujAeO5r5Ipn+A6MnY
Q4T+OkmEPt3XzZuP2oT6dUESZ9+dyk5FnsIjEKDj8Ee6sDd9T03biwU6jtDB8AOQPn08SZAu7rvt
a5I2R545lIHrsTEwZWBlQMqeYmTb7AwsnwPEbhfjHFq534tzHJvHcQegXJwqKF/Ntk5e0bLt3A4A
4nBOmbN3+89hkfJM2AgyOZAGBXqwIw1PNefi/vcC/RMwjyMPoTlVUgBhzvaueJyf/54ROOIMZh3U
gdgUge36Jf5E9IwSDpyAcWBtbJcAfYqNW/xeouPY/Bx5gI17mmT6k65vi7zW+eME/ffgEHLGHCmp
85D3/8XjSGBrGGwZJBB2qQFxQAheJNFxcJ4MPUDn0/IkPc38vgAq8Io2zcFABEAtBHgZyJvtFeOp
qxHOGSHE4VAZOJofeIFAx6H5MfAAmPlp8rRzfRvpcPu6WiM44RKMlo12YehBSk1QUBsEuVDIiBIH
0gcQBD01aS+R6Dg0P0ceYHN+mkqzvNtGr+hrwJw5QoKfJzZAg4UEX/JUZWwb7B0YM44IxpC/wQf2
7LfiHEfl+7ADSJbeSdqxi/v+zere1Pfj46J9BTeDzmxw/eBnELgbsGqHWQGAhQuKEfxj31OhTxXm
ZTIdB+fp2AOELlYnidAyTXVeaCiSP8zR6+ADOkN+Bi1PtUbIM5uIJ9nOg5TaS+Q5js3PkQfILE8z
Fb0s+lckAASfIU4Y5YRAkRlq//y5NZPOGUUIMRvqzzYkOg+Cmt8J8w+Q7B/hEI7T9Pw3zTZ6PSXZ
hf7Y4VC8pBKKaZBAew7HvpAGlADvSjWHYPxOlONgPIw6AOPmNBOa1xH08bxZ1uk2v3s9UCDwZ1hg
iZHYMWHsHHoWSAxAkUCKYznnl4p0HJznow9Auj5NPrYGj9LeJq/o+iHnvMslY7FLmUHv2S6n/My5
UOgL4EDICONQUyOHOeeXSHQcn58jD7BZfzlJt/9pLKBTMHxF3cGQmZEMInso/jMud61lT6GBhNkZ
1KfB0kG/hoOBMj/e+6Ec8AKBjiPzY+ABMJ9OE5hN0er6lbtp0Bn4GCh0UgzQONDo9BwaaUNLJ8Q4
P7s6nkPzIpGOg/Nk6AE8m9NkAefbut7eRm193zSvyZnxGZTKoCWTgYP53pj5VHs4eCYEmgPxP5PH
kgAvFes4TAdPdQDV+alCpfP7x5X8CmENhd7ZXW8ToIQxYejAwDF5hqEnmgDL5gi6O+0DA3e+/Y04
/wTNftghJKdZEDjfmvF1KduuILCjBFTuGjkgXXNg2zg748iGnrUfNeqnqYCXyPNPsDw+ySEy3kny
gV2v0O6/stSvpzKQdOY7Lg1ORxLIksmDmBNyARDd2NAsKAneN3I83vuBE7xQqH9A6OkTHYJ0ms3P
53q3Y6BoXjMtsNsRIG3YsiHsR8fy1PFIcmZL4SDo+TwWib5Ion/C58fDHKJzms22u9zgYpuVdaRf
s0eNOGdM7LTEoQQTqDgfKBFQA8o5w7Dp4+iejheLdRymg+EHUF0sTtPaFXnzqg3rhJ/tuBk0cZBd
m+0vIEGsCvU3aM+FhgK8i0whs/DMEf1eoOPwnD8OPADm/MNJAvNpC9qTh03xmgU2fkZs6OZgUDHY
99A8tW82RhCWMmiEgrDVBkNoPwfmZQIdx+bp2AN4Pp0mpd4Zg/P7Qd++YpkNNhQSvGtZB/3Y12sO
6p82Ymc2kAiwbwii2H3i+qnqvEym4wg9HXuA0MX5SSrQpbkPX1V5nDPIskEPNJQ5Iev2S9TzoD97
XH7thPq9MMdheRx3AMnl9UlCsltkXwqTPBqWVwhFIdfmSAxd6RxTaF4/3IMLbesMI0Qg4YPlrrEd
QtVDlfmdRMeR+fksB9hcnGa27aIwTfTG3ZoCqqCvSKsdaENzoDUAatTU5r/uKuRQBYVNB3s+96ve
vFyqf0Dp4KkOsXJPU4/2T+Vtk9cNgIAdkF1S1AYGAGZu18XxjCAgBHtAdnveMHrcivhMl14o1X9C
6vGZDnE6zVTCZaRfkR4QmH44TQCCVO7s66RA0J7iIyDHAIUgCi069GGX7nNb9ztpjuPyMOoAj8vT
DHbeFy3YuMc19rB2X8EHAW2DRk/YyC7wQ8LzOS5QbzjDEAhJm/3Y9vZUb14q1XF8no8+wOn9iepN
kkL/2qvubQcvBPs9oVPa/r5P6jlGEkpywKz3G6gPewwuXyDNcWx+jjzA5XJ9kn7nCs7pqMe0277q
zhywawKqcbu+zh+7CJ7aNc7PhCOEhGr20c0fL5XqOEbPRx/gdHWawemDTfhf4HIQAsFeA8hPS9Cl
XWXnuRbBTirYAQcEwoadivss6XMP9HK5jmN1OP4Arfenyeb+F/a6gTWDSs9jGvTXzbywFw4OX4HW
A8SAeu87FJ56pJdIdByhnyMPsPl4mpr04X541SOjbGDQDrSEQG8Ig4a3X/oPoBcOqBuHTl4biPgv
He6/Fec4Kt+HHUDy4fNJOqGP9yaDVO+jZXkV/obgkCj4t9uT8+sRK7C3mkE3j2TghaBPcV9YfaYt
vxfoOCw/nuQAmI+nkbG+/Y8HjT1l189+8v/1lDUJzAwaDaBjB1rZd/24z30ObEGELl4HYWmD2sAu
xIMMz8H5Z/8s1nGMDoY/e5L/T4er/fPBaz9Op/O2zdbfH2v35Oy1//zt/nHhsL2DoW+eTtCzdfmo
cMu7P9/CmTcCim8/jsvb/ZLvI78fO/SkY/vJgPtt3fz51pKwbwEqddD9DvusoL26hy3fu49hjy8c
PwWH6T3sAd6dzJLvkgp/voXSH4WObNgeBBtRdhsdyNs39S6ag6/Q7lQRUFzEvh9N8eMgwasiHSEH
/GMivr9/k7fZVaHzpoYn4buUYfnwgztJKYTQUF90GPS8SgT9FI4D399ur6EYs/v5/zNmTdPlXItV
5SSfhsZWjYmoX+eW21aycFEQfxR41Bth1ZtaT/U6Kmnn8hFvrdjRvlWN6Twoi/MwnrpNKf6OqrFf
Ol5cJ/pGT5lqy/TbOLZ6MY7ybuB/N8ay1yTlbjt21oInGn9w0OQPpXDWJTIb3Y3oou1vAoOSZZYn
Ztb26QfIejrvRl5urHpYjWWfr3Sotctyq5+zPJCrpBfvSSkm1zTc8ZJsjkMjNqHhKjDdsKRlEs6c
1ioVDUgzC43jWwXP3NLmepknvPbSlH2KZIwuC5xhlTqpX8bhdAFnVHgxC3oVlMR5V+XsnrNUunXU
3WvapP5k6EbLZlgSUd9UwxTOeFq3ygmySJHCsdaEjIu2b7702rEudGu8rseRS/tgHuT2cJNYsVs6
5ByTNvsKu17WRa0XYTGN74YgR0u7bZbCSSuXZ8nkBQWO58EoVnbToVnY8UIZypeiKlMvtQKk7PKy
n/xck9it5KC9TkTKGalem5JPnugxVkU5TmuTOAuSLscm9IbKrucDXciI176jI18mpfZENH5lVoo3
YyuRz/skUM6QX5CutecDS93B5H8TU9+MWLd+G5B5nUbZ3A7oXZVnrVunrF4FZZy6PR65kh3P5mOf
sGWRXDW1wauWOb1vT9dtZleruvBjNmJlUxHPU83XTuRj3CFXDr3wedOFqiTkm+Pkayfom3VumU08
WHIT9GLGPiZNHs4nOZyng8XdKY2+kr7qPIPRinQJXjUhvSC0yGY51cNCF/cWiOe2IUpmyZBZcxS3
X3Le956exszvmt6z84AuMbbXfYXyZc3D1I8dk7tDlDbeRGtnphl1u47f5QWNfU5wr1AY3NlM9wsn
qYmbhEJ7iR6119i6cUuLv6N5F7pdXzWKhtSeCdb9naNoWKSkOU/CqVgHAVVO0TfLzCqWlIdyPWHm
j6MSRRF8KsbLMqzDdyxeOJ307MgUqwQW2LyyiUdL8ZlazrQejfA6CwfLDJfvjOmc867ou01sfyNm
SM8jqw18mkfINVZQeHVeq5ITs2Z2n69B4wYvNmidkbJdltLkXtPoTy0rI5ckjLgRz9gGFbfWUJu5
7LIv4dj0iot08rBxolUtXXBr9ALhYGOsMvZCXQWw6sYvjsjEPG3s3rWoddlnhINqN0qkaowjtMwE
8tqOvM9Tkp9ndhYqwVi/yCWbsZLUio554hLR8JkdBq5MktZtxpouaFPNBp5+zVlH5mmbhq7u03Au
4+RzkxIV8O4iHGjrjn/rVMtZnSdKRuLa9GC47HFkaqqQwkKvaR1Yqgpg1cT53/ZE9aKPw0FFmeNl
GKc+Kup3KZ6+kQB5IsnWoe78Vg7C0xTdCxYuWWFRFwdl4AVjtRji7BbkFl6Y8GVZ6FHlVW18kTuK
8qJYT3Ryi34cvKKto3mjvwzMUUlQW36ddQDgJPwBRTcZGG3FxiZzaVr0Km1KrUxdju61KUilpqBN
PMqG5MK6DqtmxvNcL3GZXpK672YtZbddFE1uasehH7Aqn9G2pGpMWrysm2JymxRHisVXpmadL9Ok
9EkfzvOGVV5GhdszSyxicsmkadw4sSO3K0LktkES+6MVzWQ1BW6TfS4nk8zgDKXKzWKdKzR0ilTT
psZ576XFNPnWeEdDlnhDEgiFw3CWkVF4IzN/swHWDxngKauGl2498U/Z/SD7dJ7kZlqaJvMSVCrI
O48bqZ3ea3V+WwxygwKeXCStNarGbiwPdUGkgnapIxC56PpQEVPIZZ5hripMy1lr3U8Ss5keokoV
AzKe098nvJfuOMha1doJP4LPnTWDvpqM1B5qbOPF47iJ4whsUp59Jcy6sVCwtvvas0M6KRbizm2s
7lM1tL6FpGvsOFilxuZ+LvE6Suvwvcy666rL6WwaHONDliHxu7ZyZkPUcSUG/n4MUD0ThRV7vEb4
MnHT7uPoiGDVxg13a8wHrx9ZqerSHudBTbILxJvcdXBJfVLXyA15XvsFma6CxDS+bKuNHdSwfIBl
qinm41ViZwUsdgO6EU+bBliGCkIuV4LoTCUmadRQUsfDMjUuryzbJbLC8wg3CzKVi0K3S2sMMw9J
MXlV3RmVR61xZR03q66ZPNbR6cJhZeV1LMNeWbRrHfTgE8RQzqSV3ohRpK7VVTcIjbYnwjryeTdU
qh6HzmsRhhWOrUA1E8ybmexE0a5IL0gxgvENmlnPzLluy03GQrJ2jDFuiOsNq0FN6FDEl33azFno
XEyl7FfYqj3oM0nWuc5CH+tFF/BUMaux/UHmqQLPXq2GPp+TcjDg0QtrJuzeG+KegUeeGpcV0TuN
eO7VJPcSq6rWvMkWstK9GnQb+8JwObdbPbdSS7syt2HlxmWzpBE4YJ0V7gBlWdeIvlERFudtSfDC
vLd0aS0ixynVqMMPAY9KDzx8NWdB2bl9NBQL03bgchOVQj/YhgZVrqI4puek7AhAP6tKa9hkNEUq
7eiyTQrqs950Oymzy1oDDZAJ9axqHoap9V7oKFyiRnBlWSxUrJ3STVuP87EKQ4+mI3KroeJggOxs
FcVBthJpGrfvmwkWQFjiRThxe3K71BgVhiP1gpLVXhA1kzKkrFatEXe4GS2vw8swiarV/tP9K1KP
1Yrj1uVoyP207t4PPJhWoh0HVRW8h1VmsVWJGXZpFCduBstsxUrn7zgZjYrzblBO6SgDRmyBGrSg
qB1X+8uUtrZPidwmWV/7Ie1urSmowIZ1YbFC2Q7tFGlFdFmsMjq1i4BaHhvs0iNRmLpcywGoaJKv
YyzKeVMLnKqKNE6qEg5+IKGddq2kcVFojb7dNF8b4OAqTArrQcgh7w2oI2vcItBkNbQ0cocuQcqp
b0zGZkFYo1VomZsgaZJZ3KbVSlBRrmxZb+JiDOf7d2EpNnjqrFnswEIcdVut9q+wsb6/2r/dXzIC
lKvUctHavVntL/WPVyN2rKUOfdMFeh2JoVgV8toJULyugiBZdmBP8lbYLs2T2M1jFvoFRZlqgL/O
bFJe7cXtoXYwj5JwwaagWKUh/n5x+iZO1c/3LIy4Hwbs0zBO+YqkIl91ZZjmi2Cn9oM2nTIQy4Bv
Nd0yNrmZ11YFP9gZ+Gz/siYwvQlKB3e/3pD9ye7sainsDH5VZ1uju3+Z0jpR1VQJbw9rIpwcZrEN
U/Vw3X9gk+JqYih1czx8CStWAM+Ey/7Vz4sjdbkyGCaGoMxjeCrUNPWji3lXrpyOlCu6u+zfmjG5
R2Vd+T8/SkqTKCJb4Fl5Xj7MDd1Py36uakw3FOtghj/kpplWETVkFUyEKTHFOXgpHK33l3r3qhbf
qjaPVdQXI/gzUqokhBilyKtuNXSDC4dCs0WAeLf6eZEm6Vco5cUskdNNZpXWqowia5X2uzWnQT8r
q1aT1dar/UV03PiI1fcpmnrkTn01zaOaLyzgHavAQt8v4uernLSpQhMm/mA1X5qIV6v9hds5mEvB
qhkQR7B9bV2BVZeTiit4Uqbbi8CYcD6Qqc1UUJtryftxtv+y2ym7Uw2R21QDdkk41alq06FRqMiA
kO+sB9uZCLO72/6VPYoyVfv3XRN+1KIPZ3tQ9ljsgeoSJ5uxnL+vnThLVRCDyamYnHFts/l+lR6s
37rvIaaq48H9+QWXEGV1conbKp/c/UIewGqkioxVvTBACMR+QsCPP50vOZRdqrK4jZYQTjxMwf4p
989LNJ5WP58czHY+EyZaZmPnlZ2JvQg5d0UqOhUNOVnwxn5nQ0QMiZ3Mo9gA93ZkBxiQL3UYugJ3
zG+aeDaOxY2Vt9qNRW4rPE2DkqK5R4CKqGs1pP342SQJGFgRSpXnqQY/Lh3PjE1y/vMySGO73Nbr
mo5KkrT12SQTZYoF4sXgYk2vu0hEXivPK6u6wGFwZRjEblYEjp60qzC2tbIwW5KaXBdN8b4iM/CY
LcRiE1Y8AfJuZ8lskvn50J3HeX4LZ/98RKHdqdRKIPLr9acMfYyjZFSpKD+HXf4Z84C5sQMqYGfx
hYnydFGQ4R0yLi2qeNYP2UaHfaUy2KML1ML51NYQeRpg7wrYzqzljYb5osksTNtFH4xAfXj3IS5x
uQ5Nc944vViEaXRT2SP3dkQVkcR2UaL50kbgX0PULFvB8zn8AQPXHocrmYkPsZMhFxIRa/HVgjyB
P2bZYmxFf01bAexLdKuakPPU3A74nZiuSzhYYRZEVq6qLNlEdPgKAUnmasu6sNowUZhksQoJROtC
VJCJyCrFAh5CzsECxMz7OKSXeXo1iuQuGPWkyjECA5qG27oFsmKNaHBRm2wEHYQ78G5B4/JamKXc
hXo4yF1bsAKmq7lKeAY8YXAmRbLUD/rsvC2qFlhfd46GjwHnjWpCdj4CyWiMAZWwR61q40XAmT1e
ljciBV/nBIlCMfAqkejl1BSZN7gNSbY17T7UTPzdwSRMUVWptkewEBl9b9JkJTJ0XaVNBdkFxy/N
dJtgiKm7WOYq7ut3JOAqZiyC55JYhan+2A6ON3T4ZgyCQoWyzlVG741xjNc61bLFEVdj3V5lZedH
xWwiw7qR8RwU/lutm1zJRkZeWasED3RTxalf091ffoiIa1ea+zHlMJGovs5Ki6lxgeMpdCGD+HXC
yXUsR8cdEnaejqRVIsk3PBgWTj6ummxcJ6SdJV0Sqo4Mt3lrX0SZuZkMf5/Y8otkbeBi0KOpmOgS
OUmhykpcpWU2z1F60Sd9r4CTzg1rPxdFdg1SKruTowrtWMzzCAIvkqazwcknb0SBgkxJq7ICIneu
J88CGML+akgJEMfERwu7myBf0zE+071RDulGF45J566TySs91J+nMVhxGoxuUNefTRgFqq+TZYNZ
7WZCtO5kQq6aIenWWFd6nk/WF5Mn0gvsAlzBsoWghxc1nwWCQXBbdVuEWzB+VutDPnoADg7mgLV2
rXjaXLW1EG5geVFiUhWFwJWtVK9Zbn+oRd65oupTL4ozL8ZGuI7pDNyeV8CTtWuyrl+3dT16ogkX
I60iVZNmcE2PqrnobLeN829pRbXbsfIz/GWL0i076Re2fd+MsvaiorsogWKpCQW1SlOZum0puRt2
ldeTaHQTfT0m0bhus06rsJs7yQA5oiySC5SwXHFureK+sjYIh5sI5ZEKexRflW0yutI485ryaxmZ
1C063HnQf6RIOvBZPLJvwCxC32m7ygUd5Ti0V0P2caz1O4iLp41N9KaQGTBr1n5zWlm5soKEhHG2
AzVoPhn0Jddx4U8TWbcc225cWWoQUQ2r/I6khvtTPA2+CHsvSUp3ILnSjjinZaaGIANFnhiekbhS
MobfXaLcUjzIb7Qer+ocsrFZ4nRz1BB7BQT2I3iNGpYUJALHfFOHPYRqvIeduehaxtNXhpz8HNpI
M3fiFrtoUnoJZ+toMM6VVjqjyjTdoku6cJlFkBZoMkcFgfgWx+ngQxhC3drSrRdznboZtf2Ilp9r
yFhvwKx5egA0aWi+QdpjnJmh9BySlAsUBO8rsEGrXFbforR3GycA95mZ+wiyKKrqv4l4LDwr3wiU
Nn5I0nc66hIv6ViqaIY2jWkvSZXegYvZ1GDIZhnQe6abz20n7sGld64zjJELfzxgZWdoGcd3CWWj
309tv2E9+MYYOFlLHBfXoobs1SyuCVBZcGmgSDXzrWSAhFccqaSYDKQlrXCVBV4h5JXdtdqjFlgZ
YLVaOajHYAaFBj5qfeWtoV45CsdFrAV7oK9NQrMLlvedYhkL3LbtuQt3slN+lUJg7TaiLD2L9I7X
Ed+050UwuNDl9rcZeA48s+3nRUYXaLo3AlQ+s+VMFlmvHLuhrgDRiqYbFYb8udvX7aoqoi8FqnJ3
ajxZUTfq+vzSmerxXUADpsJMT74zhMif9CAUcS5JO2nVVRweGGeqQHY66zC7ruOSq14k8aKiC8ep
+o3FxNdI0nMLojCPkaxUOfmQJ5OGqCHhkCwFgxa23VXQOW5rykWvg9jF2XAxhh05d2BV66mfT3E/
bojTU3BfuJ1FqyRLjTfU6VqDlXAtVkwwNVWnpiL8pKmfNTVZQ8LbDctWwe6Z6xCWfmrPnJTPKO9v
Eyf5ULTndS6o6qCS4KVtJN2uxRAzydYdsgkycAyrXDRzHVj6auzmgz2hFaTJctUhWboIjiP0tGHv
tMZXUTa2Xko+JZDfVvUuZNxfeMfcKsmDhZ2XHwgYtt7r+Vgo3mDIeEFyqGzDwodcsJ7HJvBHnYDz
D79lQ1Cug56gOQ9wp+qW7YzhsLCc9BzcnJtErbzQkjKVDvn7uPuqm3WAK+o3QIkULwPqBo5zYxoC
b8bYbXiylUFXKKhFmAU0JH2Z7OEr8CbfDtO/UdKrPknFuyAuPKcD3mL0OycFeWre3w0RWUKmcmNl
gvgZn4Afky2lY7lq8pJBoLycEIRXuknvW8KviyrvVFM3HnXiryUmXyfIeHhlYzVgiyDUbGHVCWGd
Y93FflMElTu0RegCJmCGkzyDBAGwd6tlAGdElBUWbj/aQkHK9Nqpqtg1VebTzPEbWy4DVvQznMbV
bJp2qaQ++2hsXPgtr0tIZjpL5mQZpDza9TjkbBUxcsntqPIzEVuqyCTzal2Ul02azFBicnCMpFG8
S4GhmKTaREyqBGWlBwmVeqbpNu+63EPotiqbwJOAY1ZGeNYye/BLJLd9mftxHAJrcyHrNLmg4pkS
u4R5a48bXl30EyQtpCk+ZCk3EF+NrRvZTr1qxhSlqgzLZrV/j6qwgVQThF4f05o1kP/Y5REyHber
/fufF11GYC4oWHor56thtMt5ZPeOKiDx742732AhuIHex2wC1luk45XZ3Sgf8ndQExlmQHjgDruP
fl66vp/cgIvYLXY3jQea1ouOmHaF4vN4yr4ISGX4ZSrbleApBJlj263yJi9sNxcTdWPdgV8pkhAy
AmHYr1qoOqz63eX/UvZlzZHiQLe/iC8QOy/3gdp3L+1ut18UvQ1CAiR2wa+/B5XH5fb0nblfRIda
mUrhsguQMvOcFD7AcSJpuTF6O/jKHW/cZUUw7N1OD4jkYCM4jT5ZDqms97pqOiTckBkxYhi08cKS
KpiDZdU+m4MczK4KtVXYzqRVxndIdzVJVk7DEsX54YTPDSI375u8tbPl5EwksWbH3ps9eU3dB9Lm
2Kll+Sd/cOq1r+mwN02lSr2feoFfK7C2dHacOW8HhLbQmN5NJ+3hrh08pM1CgqD87IGndOz3M0Us
v8o3ZVmzpfRzsrX5gK92ale1CNTW8uEcTVoxrO4UyaLa512CvG67z+dwVlVGTkIrzhFq476z6pDd
sjjmBVbY7FU1NXvT82bR9GaLyonarQuW4bJpvTpp2R3AGXzvt12PG7/j0d52CH7FoPYW2LA5+yJw
nL2aez2v0l2IzGffRGRPxeAViT/E1jqsxcXoeIo3p+kR7TmJ3QUIcJbdL+K6elX6FXYTFiN7j/Zk
J6rvRjBqry3bncA31tqlvTdN/db7IGLD26yEctPEfD5Lahe37JI0+IXtTrrXxqjHtqU7Le+7ZvKL
BG6C2Kicn4nHIObzhzWfWGCTsAgDlyzU/Bm9cSL7YG6MaJqgavmyqh+Ewkpc5PiawvL68999iPmP
BKZtWCTj/DnMyIgbIaPYMrNB+CsaffKq+hL3o1p0TKXwuRJZ2V+KFM7KFFZ5krE6SLiG4zWGAXIc
Lt1GaeLWyjtPRUywp0dI2+oRzW5oewQbkS90xL8JnX/HHmiRu+OQjE4RLInMfvl++SRb3CViLBdM
kmoxCbtDpqezk0ngz6VLecA2H76EheRhnzXFiiBQsXZH79DCo2l16W9Ej8vVFlv+ZS81/M3NRL0M
m5P0gKBvDc2uzsiTJP0vK8dvEPRRk6Tcwl8hDBNkSnHn9uE+bQOBl6r9aFmEJ1VQZ4AdAgnxCtP4
DXPwA7njOkvZ6/mFb+L/+SQL/DNzbsr5+MObhJqk13MT/9UKRWVnxEXz0Wj+NG/Xup3eNwM13j7q
B+jH9aTF/wcu5F8HfwON/AaReQ8awTF8/wYZ+YC0ueJQZkSGmfeKHAmC/4mBOwVW+O2Ukit4BDVj
/gcHMQFaByhXfIU0vmJHQAsHoGM+V+b1fIxX4AhBwQycAIjTtV6Lzof/G+AIKBi/4UZQ/hx16W28
F10HBFtgZEGfeY8bQVaxLgkenl+VK09+abtPusqRAGITMiR94DwNXuUsC2TTNmbUjixyHXXq0r2O
5rl4Hf3TXHMpY/ynuST+lqXYvKS9qg6mQRqjUvAG/5ZjPSJ/MzcfdMB1qL8NgWoJylZv8QDVx1uT
I/39Tsy8wjpIgUxQ7H5JVV4c3SBOF9YsVmNpr4aBhRsnqLwvTtj+FGU7XFKNTS9jiFDVfC0QfH7x
FbxK7Iy+9Kle+zHHazCxw8lb5nSih3Gs6MH0AhXTQ0nToE5usqDERbCcJ2K005UXUuQ+a5enyK9P
5KBzElZrQJDIwcgs6C6WpPZ3JTK+HblXHvnE5DGfG0Z1uMCi6y0+DBjRNEFWy6NQAkFm01XbOB3E
0YzlWlurlGm+QnqoR3Bjis68qft1qmh0ZnNv0londezLpSIb2bjN59iurLs2l2IjLCaRc+zluZ8b
agk0YTUmviqHpG2HtFOIaAXFUlVpvHHb9kzSdjqnyvIe8fpsVk5PUzidtf/IUjWcUtU8VQX8OJvZ
fv8gsGDtEYNGSrp56OBnYnUQ/bbMEJgwOtPMz0oSZxxL52wXTE768G+TzIVyv9+6tZS7QbuySvys
Q5YyEu8bo1PI274bMDqkG55ev/PIPY+833pkyC81XJJHSi1/03gBWdRewB51M5KkHxqgMZyh3VSi
dQ+EON1ehUO/jRDxOvuaByts5uSDo+GW+pZgX0SOxW/QcX9QZWUvpaNzeDEN/2x6+VuvGazsqrv1
ULnN2fKcBSuSYwkgIRaYmNGOLYw8lL2/SYs43fYErhTCVFjtmoE9hlqU26nuq22q7ehBzQni3ir4
T6aHVVux4qWlSPsyz8pOfgtcSOoKb0nbka5l5/nYotOUwNu2/QQ3vVyr3JFnNjKJPHctz+PcVCEc
S0Sz1doM1NHICJ4bjFis9ROgn36EnT5VNH9xeDGwhYoraz+LJVwCtpDhZGH7Kl/weOIXehPr0qvv
m2lH3KkAJKN1q8QTHjnwMhfpsgUdceUO8MWN8jrOG/I9QJxpGxZ+tpLMAo4IybZo41s/rLbQJxFS
91zoeBHxMJ8+9/mAJEuVpVGZRGmLAIGvEBz0xXgXTz7Cz3NTekvMyN5rUrjxsqqnDfVgqpE4w8Zt
3ORhmt1LoMASZ6yLH9mQAmrS6S9+U5/DstqI+T1iGrz16MGf3yNGLMzL5CbjC7zQqYQ3CtDCse1J
cWK1Fy6x3EzPKbWRYHeCnyybHj2AYb4UUTysbJ/yI8ImxSnDCY5X076cjtwr5Jd3S+GfYIlkRh3e
UImAtdqx48FFBvMcBw2Bgfn76hKSIutYwKJfIsjyXRYLZCSd2RMwPkErHMim+1H+aPpO/kf349xm
nMTCarW38tzJfuqq9KHyR30psow/yWFBi6ZYUDnSVT5/zaYhweThHYZMQImIllEVjmRuYrrRPENb
cNaN3W3a24yb3nem1E3MjP/+GVVZn6pyKB/HCJnKBiCv+8yp6yMNGByPoFXfUgHfRgPXUsRWBnQi
LZCBiNS3/tBmKcL7hWzWOJY62ga5aD5bVrEruEgAgnjU6VTeWUHrPxSsO6Vj2D2Pvs+2UxB4KxK2
3XPZV0VS1A27FH6TbhF1JgtSkwIZ4JG99LQZF4Vt62NfRuNjIaq7cNY3kWYru5jorsr88svUIesy
67uYh+ux5c6GFoK9kPYCaFT4TMfS2vZd7a2MGvGmXctV9pQiGXZovUks6ZBmL67Dl/9x90UAWf9+
94UhCoM4HhDw2OHgVvz97pu4GzWBHWQ/OUEoKkMs4I7bYnrx7ClAwGMGoCh4pN0UYSmX44udx8HC
StvmiJic+8BS68uIB3ZNBsmXY07FsXZtcSyQVb72jM6KijtRTun2g97Y6i7QTWLsbsM8qO6QMsFf
/A+XMzq74RsEHe5D35MrjbDk0W4L/yjqiK8KOaXPbcAv4fxw+9S/qwLP/mJMHea9mvaT885Uhnn4
U1ruHVcF+RLQEVgiRdiyZm3qscTyrEmVd1E37PBIrgfuIcAy9+zcQ0ol7dhr7/fRj3aWztZaICBh
5t5GZdSQvVN33iIqY/tojdP7JlZkx92gBkDpN/3NVlBlH40Y+PLY6oJuMwEwcnIzuc01Ol+WF2fI
9dZMNYNG/3FaEdsPiK0COyTFmk75+AmLJ0dujtTPQOwhwN5Gw3eEbU6TSFmacOCssszqMsSJVNL6
cf1AsqIGHLJ8Ilzzi8Ns5+lNmuLURdS/enL6gl/ILM1jRnKwUt0s/7/mTfNPeLvK7ecBn3n96W9j
t583j92kt0/ml3m4A0K4S5AeZqdIpd5C+45cFqGXnozO9G6NMANp7i0QiXu1+5Mx05SCiP2Gwv/D
OhICpf/+QYbv5LooOh/PhGUcoxF+eJA1yyyH1a71M+P2DHCK7qOQ8xOSyv3CPNHYEvzoSje6x9Yn
O1Vv+gj65k3fT9mwkJUzzluIHxpoonf2Ru+m4Y+cfsvq+CFu86lL8HCTI327a6+9WWdPQJogVOUB
itrA6zf3mBk2jbnbTM8YYnUEQM4F2CIxyuvFI4I8cDUxe2lJbIorYDeTso/LQzVvigvp2htAD7Kl
Ee0yyu9bgjjJPCjnxqWpSjJdyEPmv0xtvojo6B/yqm0ugzOoRZuJ4kcFiBOngX4psE1e3SwC/yf1
EUCPgh3oBAIIzACbrJus3P/YDcxEiI/f4uzsOo4P3gviXh++RdWNMsQ7KPpppTnxrcQnlbMyjqEk
gP061icjCLEdfGV9UlkgH7PxW1+EB9rw9BQENXaFb6KiNj4wH+h1NM7C+j5OxyWybVt/qpyj6+Xp
tlG2c/TnnjvrTM/obqNSUWtzszO9IRseSDllxyGM4YN4jl63Vd1cxJS+NmZAAj0Mp/BvnTGZsMgi
p40B5eca+bl5HkokvF7GWBvDWIxx8u9PSvDPJwWwE/iHqBuDkgrw6X9f8oCoyyxbM/enX7bposky
cuzemqDJcKcauW097A4VcqRt1uxvqqrEF5NnvYsclO+drUx4ZwH4D3dZc/LGzjs7c2P0GffyVTwS
b/FhwIxqRGLb2slWbRdb7U5OWZifbdnzZeYUz5XOyM6XfnNpdNdc3Lk366UXjNurreCeQAZMHHoP
gIPJkfFdGIICMSj3yRVjdDePVXb0bqyZJc8bPkkJTIR0rGrXDIofTA/JrdcekDevvdvorZcOIT8I
B9j4f/9uUBPrHw8ASpwGOMQhsmdGsmf//uWwkNGcj3b9E1SHqfFWoYrXNRutUx5Vd8CG9jsjXVUh
oUBqlt24TMEuWuRXebY24xyshP0Q1ruxRKLHRe6334yxfHcZM2BskWPzli0oCcDKAkDC5WR99Z3y
QaqaIMZ4BP4/xP+pe6edsnoZqEoXeVvajzZDlruUFj1VyuY7JyuB9guYexJYNFdk4PWjW5R8MTYs
fZmvyERoz1f0aCoeIpfVG88CErQdquKHZ9ubSgP0lPUFXU2IXO5JHtA7Y5HXwXDOOedJa27X+fbU
XmcfQ3PPDtUIyo+b5uvubeRmKJ0uX7oAJi3KwW3uYy2THPC1R6+K2aMzdM4yi6NmbXRvFq2uxJJo
+lDN/qM/sXLtUJohog7R6LI8LNYgTwHUbTzO9E0u4andG0Ojs2KkCSbCm3szcLtWYRzXEuFk0ljt
3qvYqmqj8tylGv7w3AudQp6VX/oHUqWrD3pjYQbnmcb0NsmfZ9bzzLfLGgujN2ZOpq+XNaoP03+/
bBPL/1izo3/c7KgGhwpWYAuD/TizVH+/2dsgs/mIrCwOGCiXhISBTLqpgoduw00Haa44GLHyKUn8
mk9LOSFPBKgIhj8Y8oiFIJrNsytjpGcjY3kzN5c0orlkpPxL7gBymPF2PGeeq5ykpXl3VgejmQZ3
PAujDhXgBkCW6CTHou4kt3FEbTugUHKxmUg2nq/Dr1chiCIldV34K5kCOhUBkN9bXX0kXFYFyDvo
mqaxcnoAsNkI9uDVx3fGN7NxHmEgxx+sfIUyv7icUV27tMuwAIUuXdMml8iol+NaYc+OzHMvT0Zn
GtCNMg04J2yiITwqe6x3AWvZq+5myOL29QpGFys/xvlI/7ZpQw3aj687FHX24H7B/8cbyo0+vO7S
eOJ+jKT0d9GIVYvYhZtYNbB0RHZ6adaI21oS9bE+Ry9GkZUKpmZNGQsX2DtAJ6/2RmdmTtmkz/0P
vEnmq86r1PVav1//+kMzHv4V4iYAS6y5L+amDx+Y7VV31z3DvHGAC37TpFEh7hQ/ep2z0Phe7gVQ
N4+x1aeA6ktvk9LYfyyngB+CyqkSM6qJ9h/nCR7Fe8CoEHHFhGFK8qYpN2ZvY8WiW+KZkVsjpkXV
LZ2cAMs5B9MZ/XvURN5voybybkbt2fjDXCJsJKKKodhNSv9FkZ+6YzYrr42V9j8nJcjOqMxgF+UA
eDv1XwVpyrvcdqalRrU6/CagsHcAtafLft458r4Ri9EZ/Us12t0hbHy1AsMqfWlCa1FT5j5PE12m
aSU3VHdA3KiaPfaVyx6J0Ks4ba2LUelMS2xkFVsOPsca1w3OKm67cs2srF/4RMaXCtRdoAbQU36a
Joim5LvbgBaxB3ArwNKz2U1vLtK1QLHdBhArnBLXtrDZyKg3Hfq6QnRDYDfHlbyzreBHO4b6eexl
uQ6JP24CpcZn2slLMGNFBWP/8SIMQeX+bduL2qU40ATFx1BIjsCF+RAD6wYa1XY16e8aKXbXTkoN
zGngaf+Efdq99AuqFmELXmTPQBXkdv+IsG2zBSx0WBjRNL36FJRT9WAEwAK7pReGdG1ERkofxF3/
3kgdLfvHPqN/ibzqDk5vqTNiq941zjWO1koOg3UwMaxrrCqPYrZmfS6Af/nbzjVRrBg0wyoGJSXf
m01YEWOnLFRuL82+S/4uxmNcLEEAWyPt5Z/cXD6a4L5plCju0r5WZyNRfAWr3A2BbDHZAF4HN3tJ
gPPssUHdexxoU9MrAh19qsb6CIDC+GL03ii8fdwi5wuQ1ke9O9jYDvGsXgwEjM7/2sn5c1YMW0bQ
sufcnhfiZGccxoUD7GKQwT3EN39f3KLKacBcDOT3ZhyiZUlpvWuL7sz1CJS0Lpk+AVehT6YnRdns
gro5w59r/L0xnsVioByIbvcBsJTwFMus2Ko4ZvvWAgQ45FOwCstCP2JliQGdzopvYaEPolMNNlh5
hGSvcH6G48iT0vbPAG+qE4L4JSJc0Yi8EnYk1WRHURLkY3lXzrSOcNp0BXUS1jsi++WUWbssRwZc
4bz03JqAZc0xmpubri9VYhOAM3GqMlnF2N61D7IPdiWtt4Wj3S8uZ3I5Ks/f+bnlfmmD6EidWD10
+Tg88JYe8AoUn1V4CcNJHPFRxNH0TAOk3NgkvG/BmgZOw+jquEeGyEntzdVtRuLpU64aurk52sY3
v4nGsTZ+95utURmLwFIr6vftrlHpeLg1U6/GQ5EX26JoHWDpUgVK25vJVQ4ZElYBnXY+H7zLFIC/
WBbVyZ0lo2qx6hzsVp+MhHfMq76XdrYeuT0sbjpjghzOC+nGZjMgxlt/565droZWBzu3DOB+qTH9
WrjlDFPMxoMci/ILqflVLwG83o2gla0QmWNfXfDMkwKwl4tXlME98dqnYNb7CJCAc6LpprTAg5PO
yCaQ3ytNxkOvh+CxdGX21Mq1CTx5DTGCiR95YBPMI0bIZ7O0f2eWZuuKxwwHXPzbbgF1Nf/xSOHd
iNNtUY8utP0gmB+5dwUMtDuUKi4n93vB8LzMB90eTWOBi7NGdQJgxt50HmvHHhxUlAYwyjLP7SOe
PP/Nwqg/iMbet8cyyQv8SmHVPjJrGve8jxEYnZvRtxc44lWfb6oga+xkrJxyWznSu5oxNxDrwG6i
hdG5gyBLv4qrNdiVeqF0U+yIruJPVWDZq8BVyOjOopq8eitagLONyMcS+UCp2sSIXeSTS297JyMJ
NslPqX+daDRF0G8p5+FdGmc/uF2UhyJA0LnzNJgVs88yzg7IB50968Tvdjed5SNzfc21fZjXudF4
AEBLgJuUfu1EIT43fW+tiMOwpIwpPQWT3S9zX9hf7Qk0RdIFP383FSFWH2829au+B9RYDxuwakJk
Xnp2juamshHOtW22YFnOzqAeF3ZiRo08RPoMZ8/bWTWgZWAPwybufXauZ4afy8Zy9W5eZTnhJp+r
W1SM5UDVti9TGIO3EmCb5hUIjhmxVoO3CQUrV0ZsnDxbuRGqOFyNc8oWTt7XByOmVvUc+qy7BGlN
PjPRLCLX/9XRDslEHDPzCER8dlIBeTarmFEhN3eAf5tdQhmHx1R4D94okec0DhkpJjtRBLGkm6d2
c8vMqIN6D+sP/hoqQsidJqjtEU8Ub5+2G/m+yrwd0yADggmJlPvYHNy5SXG+ARKG6E1SSLzt4uVN
ZXrGzFgY0TR2GzaoW4AKEsi6ZwlgW9HGoaG7kjLLngMpxwRFFaaTGFL6OR4vLOyzZxug5cNES2Cf
ZtGJC28ZBnaxM6Jsy0NfEvrAa/6VNsE3MXN50oDqfYwqik8tyw913o8vRp/Negccvz/pQ8TU9xnK
IiQmHaqDWKyMaHKiJhtqBm5p05uum9qtmuyd1djuidrgpGDxs5H0hnhr4jeR2sCu+ZUHavCsA10C
AA3TrSuHn6ZsR1XlnnjMq1UK3P/KnQD813DDwU0Yqq8IHEyLjAX00CMy+aQ6ioc9q756wvI23Mnb
dTPZ6mvleKcMK/tj5LH4On2azT5MLzprafTYKnkrP+PHrIqsd/AHVyqe8CJ09wb+gJ0AuTQTwfcA
MMRYhu3Cn7BLjEBouoTdU6YBN0XpAGwTGJKNIH1a9arnSGAZHegCyGCET3EnfzMr/WcxwPNJmLLi
e298mBDckwsSl9ZSOG629t2OPdrgUMyD1Yx9oH1w+fcVgvhzxOD9pgtFdlBGBzXMUeo38OFV/r5C
hIUFoGfZqxdFvX5RYP91sPusBMMmI2iv/YD6/qEPlb1wgERe+GboamCGrk3tqw0fMlAWG1Zt+qLM
r4FoHA4CZgvuzZVxuagM1EaizsjKOGRBL19HeV/I+xiPqsEvGDyD6XVN91SHXba76W9QCFAAroPG
3mAibmaxPTzxqXmQTplMJYruCK7BsC+mZ4fkeKaywkKIqx6fY+Cbkxgx3rOIh6uZNYX9qdCWszAb
Huwu7DX1Qfu7ZSFuO6EPGY2b8Yft1AfxdmWsU9k1i3G7qKP7Y+vy6BLr9mzykkU23BNLDF+82q9W
Hs/bY2yJ+GilI1tZFi+eG7c+4yi98VtnAsQ4VSJ9oFhLE6La6uL52PsOjr3Hqj0+u41fbJuxRr5g
Fo2ZAyjTUREAayWKdSCsrYu7272cjsVTr7S9v97MKG0ArhjqBoCIgNvdNO3cY4F86gZpA3/7t/5m
a655fWgsX16vBxp4hhIXrAYtNRcPiEQTUCT8eKVinz+YximylwnVMQ5GogOJUNbh2QhmDgPhYOe2
qFhx0324ji6F/R9bLJSG+8cDhFpxOLAWICOcCfAPr0Vo0RSUSfXSMqfYIy7HTrkXpycAlYqFgPOx
9Bu/RA2lWfmnYTPQKv9r03jqYBzNNr50Qdo/GEHUdbN0aMQ2RrR0R0421Q9XJ1cI+xfKB6THvo78
7UjAG6Na+8OSx126dCsll0M9BtuKd18yuD4riQoIy3aa4ovvDSRE/ND9An4v3xtdMIcL+GghF0dR
hGGWppkZCKwdsE1Dr/AGlLLxEtSV8u4jNqHAETzjwkHkAfQyBg4XfG0K9uE9UtWoGZEOj8ai9nIk
cMpc7oxYhUG0H+ZAjxGJi5I0lciGTe5N5VF5etlit3QO1Diep6pFnJEwe1ilHdgYLOrKYGmGGst+
iVXkbcc4nRZpmrKtHMt+mWpNHlC0qV9OCO48pAKsYz33+KyTNHJOltm2h2AyYo3MkErP2Z3PHKRN
5qapkF8yejh9d0aaMnuFPHZ8iAIR3k1W/9W8OhqZTuteWajwVA/poWt5sGMlvW9z3ZwMZK11SrFj
cU2RrMQr3TRWQe8FSmudjHSzMJA3M+vtGsYiS/UI0iOQPbf3onnZOaRhp5b+/KA2Ytg77IRQlRFu
r0zzfjRjtPt5e1maXuWd+iaqg/O8WKmIiyNqWLI9/EaAYbg/nGyCYlFplGvE+1iGP6rPP4NqCoR5
W8lvVdHexblH/wra7305guRqEbWSQBD+bFryUgZx+TUVAfinSHjslQOH2rHc8DQ6PDzxsA1Pmd/I
XUnEPbio7rRks84MlNFjwLAH7G1rdsB1iuINvZOi5NffoTld5msZ9yfcBfdRyrwfb5085VcN/7sz
D7UkvFig2B3Aa4xOFmu6KRlqhBY736rhikAZEyA4l1VL1bocwuw+474PZoHOEta1QOA3np8uLVuA
cT9vDvD2qe/5eMmtaFMBv3a8vf9C/DXWcxGtxfXV18OaRdYqRAWi3ZCJ/BPsnwk4sN+7LCiSniDZ
g6IezT60lbuqauSQwqJJjIXsCIpn1bU4FV0XngPqqYWoQmdnRRKLbhT7BwXP9VDPjRFvTV3Zm8HN
2e6m6gIxbFzA16fPpG66DQLeKwTf2NlBNvJOI5N9F4GmAZdqCjd96KEkjYxAQGRVYIOGjWFvNkQB
IQ7PI0Uis+KbKMtj0JLceMPzegIlsSyPuWjJuiM1bh7P8xaNT8MvVej/0JNf/lLCTcIYML5kSkcU
Z6j1dwGWZeJ0DQVB2AP+q5f1o7RYEqPi8H3eRNWj5F22AiVcrM2gm7XhhVrx2gwaVUpAFG0RkNwZ
0bLz4YAiY3DwB9EqxGnyp5yDnTaBK7NUqF/WrKvGLlZZgXQIy5EeQaVJ5FBM1yhNI+bha892fFCf
SyRfbjZGxOs22ESetvaCMpRb0l6d7UFjetao03ShVRFf+rlXOZkFIr4aV2ZgEFKDq5NaKAQwhQtB
M7xWIj0+Ow4yZzr8onqHHlKtmkWJEE9VeHz6PJW2jRvX4Q+mSa2njlb0zkLQ+aH1S31AmaOX27hb
e9FqUNpZGp1jN98iiVo/4DsMo97kYMOPQ6q+tT6IFDjhWB6zwQ7PhIzDAndK8eMPFiq1yXpQ3rML
9+whRfzThZPxZCTuo8TgmzSPYaeBlPNsKYm1uknz2BgE4leBIO4hlx0H23pcXJ+3KkfQXyMSet2u
G+Bx2fQH6gGwR1VxHltiffajZlHXU/+JWk3/YJNyl+fS+uyVvj5Wbk6SYbbiagg3vGJqZUZzDiYy
axTQxQoQAnNpR+b5HWlRs2d+uk3TD73c1JS/fgKeugUIYYInDSqwHPXkoGwfqIb4ZrJ81QdI9ZIh
ah5Mg3zpWSsUKGppc/ENcKVukCFjWYvg/YyHuSrz0Zeb3kEqlaYcS1hgwTdzRHmHMh0loLDWcOFs
ZzQ39c2UEb+4MwN5QfRsaodWvOkVuBFgrdrOCjHyBuUKgvxXA3AZkfRXWIDOS4K2ffJzFDUcSDcd
tSLkEIKjjSJxtWMtr2CePAMjbOqf7DSs930avdOjWhk/yUl+L9LCfcDis7BzN/5kIi0yAhc8G9SD
kTgNn0lP6TUu4yAICgZrJfdmsE/beIlEXL4xYuYG7YZnobM0VwvGekQdJStM/Ig2655IjpBmjFwx
rf2j7SGzAgJbkAy0RbFDbd33RKRPnosFTDmFu7YzWZ3GOcMFb3rT1Fb2M8zdIsEruHukU2ptOjaO
W6CQ+od8ijpUhYAJF4i2AAXykg8WvpGeAbzmFP1/xMC9P2wmcU5uiCq2Hu4ml3zwxlzgOlMSq/wl
ywRYSVV3R1yreRAgNu1VI6oEOKX2wehU2BC89PMO9TpgYgYmN/w4S1tkO8q4tR79oE9Q3yXScYH6
Pd2tA2xFce/aqbNCNAqQgNBtm4NpaOGj1I1vf5ssqzmUaahV4oROc7DnxpgY0StbzDPd2+R3c8x1
9FjjvKR/i2/iHOGPm+8Q65CDqh44pA5Ito9/r6a2GzYU7vDV6csChHjQtNx5P0HmxvQUy7GsZ3b7
UGch3xldNm8qhsrHAPIAzSa0XJ4YZSey6ITSguFRoAgd0OQpnNGAXD70eid3rjr91vvf2w2garZ+
Om1MntIHIDhhHgJrxi02YupxcTCJSSMKT/N3ohm9Gd/mtrKPkg/GNzFtavwglERd2JqERxTQlJdo
FNtiRneYBvF6d1GgOO4GAVj2mE9xeQlCd+E5dvW9FqOVAKPc3oOn4WwVyP5bFnkCfoHrggbYBz9R
lqbBt/0zQBVCMA813yuCV3KgwG2OdF4+pyNe+RbTZGPEUoefUHG2vC8dJOOAzjvj5IHiOctls0VV
TlANjMgnFBZEYZvTwPvxs1v+4sVUPg95idKnHjie5lpgGmQoWmA3ezM6etYiZmUNwKit4U7gE5iL
2UWWrs0nuIpe/ElGfXnfxf+XtPNYchvZ0vATIQLebOk9WSyn0gahkkrw3iSAp58PoFqU1Ld75sYs
hEA6gEURicxzfpMW16o1TomH0q9hhMEWjS1lgTaBQUojdy9BOGJkoyJ45+F4C+xMe9TkEMJ2oPir
ygjLz7b1LtWW//7HQLdRXv/996+af/7+CVEhkQwWxFDhZWMq/Hv0ZtCYNRFTTl7MjrXIi67Y+qry
IUcjAoRqaOPuJVNz935bPPiep6+n0lRPZs0qkeqgdSrDpiHyDgxsIyDJbnszZI/n6xm0drVRUNoY
qq3WGt21KMz8kiH14JVxf52q0qxrV62U1nDw6TE16KrzaJYNgMGxyoKcc6j84XkqTYfORYAudomq
tEB+l6EKb8kaKmudNS6SxyFQSRaZPozeOj4YgBFeuwBUgp30zyDpvG0RWiFiD61Rj3CoYa7qFtob
45N9e+SnRzmos7WOhqvXyCoiGl6yDp2hOuskvW6HPIL0q8dG/EuDP3aZRljjiKkzggHvyAGZ8Gdy
+HGt15CccqJiX/88K6eWqUyiF30Y27a+drkD4HvsKHXyqZZNJDB+iwNMxXsdcqgDKLbDVJPxOvol
ZFCrXkGWzdVnvp36Oxgg0osXup915v7zVGrqM3o5NuKobvIgW/6ZtJP0ojZ+t5dlCLCl0UgvkJSC
tUmotRKgU68QcNIrc3X4UPEf4key8SiFHAok2WZOHhb7qS7JnXWGJtDaDfN2L7lSs5eyvt07MaKB
s3t5Orv3scfeU5Ft38knyKy2Sre5beJ8ghc7382fJxjFBJyYznS/QSsnc0Ca9zmbPSSRfulnZDDA
KikcWB4o+lkJDGNulqygtLE4HWRkjc+pnj+MiN5dXxoB0j9t5B7RBESr+bduYVH3sxs7ToYlvI+q
0j9PhxQphZPdX6YC0UDCzkSWX7JGHbaw9BN9NrWgD07ySVcI245DHX5Me7sOj8w44bWrrBnCG/Fl
KuVmlJC/QPx7bJsOSUyKa4BfxfLirzo991nL5zaSNq1/TMv+W+W22jMEe3sq5UGoPYfS8EuJnNut
VCWq+hyhJnvv2UKKWhB6TRZebg471CWRYxzPatENt7OpDh6mNpMFemLBqNE4iRBomeKSbrMaFEJv
52gMRuskjFESIueNvnbfb7ukiQ+q7cLHk3oXhfIEZVtSndcsQS9bT/36Gc48cuOCvEXXBh8h+8mv
Rqrwc+5qGABBOEMGcZLgKpFP81A57uPmkBSS/W761XfXrO1PiPw4Mz1XkucMlhgSYpCR/n1C/Rtz
19ZAVLF5ZFJlMqX5D3hVZLp+KorKevZrJMOnV6/Im2IeizDeTeHrToKpmstyvJtevVNrElQ/WlGT
+dF6Hzu1qkaHkleWP/yn8dPlpgG+CsLYKEu136dFB66l9lED+50+gGgpmqt226qzWxDLDh1x0NWg
mrNfFs956aIE65jiWWfT3gB2lST1rKP/+TrYwbDrrGzMyFIkUigjuKT1TJIUTc8CSl/UxXGolezV
QEas6It43Ri1s/Rq39zA/SnWBnI5z82oajJuBPsakR4bwPNjKAxjU3nIWHl1aD1LrXYNoEptPMPX
N1pX7OQqS98MCWg+CvvKUddSpIAd1Vg6mdm+JJX5MkW5f3ZNqvRHV6t1lVtX2+leM5FLCxiT1lG3
RzE59FaWcoi6LhJjrOma3rOPKinYo1YL+11NhqvJQ/kua8WH5Xfmm5YnzcxJ3OEV1hqUSNNsn5HK
1lnzqM1jHKb9omgIUshS3S7twtfPaSq1K4DBPgKPubzuGr1GU0m3NqrUOTscEpKdhnzDFqV0eW8X
RbbpTciATpAF66bLrVMeGtLStPvhogILJgUommsaZvEiDOz6CdV39vKIQr8wcWmzJumUT4ElxaAm
hPTZGoZP/CXlVxYAR2sorA9DJCu9yXwEOvR2Uwj+nFZP43Of9cVDmhfvXagpb4qny4vKQ0Q+qiBC
KjFCvWN90tXWugTbtuo8S37zPWPjx7b/JJpzx8O9HZw+3ORQpWFKVcGcpFb0VUc8zy+i5qMv0HZo
zCZ/DtwYPUpD0vZIp3pH2zOSZYz+y2skzBfhDM2HFIWrpjH0lZmF6qZnTzPPtKi5JpmrrbRGbvcW
aFYmRA8V6tLPH6skZLr0teTdKIaVkpf1PsrQ2LKi3N6T+Lduh6losiVnDWL4i6kBfUV0VKZTOQk5
nTrdTp1xuFYP6R4hw/tlpjM7qAWSvFm8VSXU1TohlydXDkYV/lRdeaAWnwA8prxw9PRD89/E4A9f
U17Mo8y//KAWQ7qRQt3e6JKnXiTf5tErrOK98tDEHcektv29UeXsOU/0aNXw09sbGsxsSUktILw+
QueIy/NaDJMds+FjMK0+xoM2rlKm+rIZHkF+/qi615OVfJxKwkX7D4pBdbvGP9ZNF5nu0LXxp0QD
JmAGtrGALOQ9IexWnerEvqhS6D9NVaZR7yqSyWd5rLKdEnFOMMjrqTE07AQ4GcmAqeioPfE4c61b
cljNq65dQq87aWjDnE1ElB5rP9h7cUQYS2njTaEY2rIdo1pQp8NZqzrVudC05lFtvF+6YYTxDRGR
Vw0p4k1OmC5xBChetbDLQ2eAXZsOUzGJev7/DCNFPt3ULuj6eZcw2EHNJV45VUnC+KzJTv2jbjB5
0IEBFMuplVVGjlnfv21QiTP8vkG1IYzYoDxJrfJwKor8BwCn0NJkyMJUfSb/STJmxVyb78Rgr03i
bg+o/mjPg+OsoW3+KI1t99LYNvWsx9d691vPv4+belbjNX/e4ee4IJLKtSjTYea2LukUtxGkV1CL
r1owk7bZn6aa6dADllpLYYwUwe8NlRmzC5gCxbadyAtsEHZ+ZMBkGNN0PODZySjdzVSaDnoVGKiQ
IZ+uGKjJgEBEVqZ17H7tpwhHmpYNB7BxzlYfuGgihQ9BGpJxGqumMykgXdN4g8Qb468GolvlKk28
/hQ61VJPBvXijavWPinyhYkwObCT1Hj0lVDes36IZn2ivpfEeZ8Cxf4YatV/LpVWrPrUVXaKG2GA
oWs+iGGvwo9AOEuiUbC3auNq5Un+GOXpOkrM7BVFu/BgNMQGp2IHXpFZy6hXZZfmr/2gopKNCE+W
NycJUfwFMSkV/H1m8pgLIzt55XJQKiCjlSRtWUrUyzaBBLvuh+GLoeJh0Ectun9GYD83uXrVSLZ+
TVpSKEi5l49Ag8xNrJFJ/w89iG5mi9pV1DVEHmU15DVJDTVJjuyB82WSy8kL77JvEEXcD1V9a+qm
usQwi/WNayF+r+p4H6hWbFxEnCm7kEjJEtKF8UnOpZXfGclXRYp/9ODTy7uRdLa0TNJXVa5Xcz+J
WIKPkF9C6s0cKUdjr+aAXMCcBpIt9jeInOs33iHou0Mne4VHiCCY1VIFH7QKDZQ7hPrdU/QTYebo
vYQXPGuBwr7aOdJ+LEqjp74NlIXLH3PBr6JepUDHjwbqdZuuBsrSB62/dzsj22R2Zh8JN8arsEQS
gP8xRBk0EspI9ZvVijX4cNSKHm6EmmlbDwm4T1HHOyDvHGLmbnns4B+ghku97lbDQkNGdjtNXF3R
/dJNjgpjVo8zmNQjYZrVxo9uEUqaSeR859Uevep8hYgolG8ecgfL2LT9Qx0W5SlWIneOUq/6rqA8
4snm10CWs/lQRw7IKEfdVXUZ8GHV4jXKklNiRubXJI4/MPUpn6yiyP+3pa/xB7OAqcpRNF1VCKfJ
hg7d7fdYAtKoihU3Wf8MWse5lvqLjYjnq4ZcBnrgDoyBOCreUHLLZ5gGNOdWFNpDpypIa1AfDbg3
9GLhw8OYa3kXbaeNyFQMKuPX4tRqZvW+CPIHZ7Djg6sEYuWjlHmNy6icd0Q73rRkeAgmXK5jb3PD
Kr5XZv5F62P7VYLiOU9Q6N+S/Ple15W8l+SK5E2T9599K71WKAY9lmO9Dxh/4ela/7lFGdfNzgLR
1NvOP4sGeSUQXZxP+/0pLkCCqzsGam5szdjS67WRySgZG1q4RiqOlSXEcXKVNirut2C6JZQFaOn2
YIWpxwJJ7sRhKrteJg6jvQpZiQ51898bpi5mbjJk6lg7ZYeyX/dc6+ZlQhJO2ENY7vFhrJIgDTz4
uRUjMWGLBeRL+WhbdbG05HEzJMs5EiBB960OYK6qnvHdsotr6NrSJwQFjHkUlsplgKzO/K8Qi/s5
PHDBjE3D+eZuw03D07+XQXsdtN47N7orNlbQpecKWsEs88z0U1kG9cq2zGQtlVX6ybfMN5R7UQwr
hgBPj2w/VfdOam8QT0DiZxyU9uz+dLV0D7ov169BttFxgfrkoIe3J0tczqdiJ/WP8G/O4SgIlJbu
yQqN4skTdbwXiob/zFjvpd4ZUF3xpNX9InWQwpPjfKXXNUtwVvIHwOO/Hu51slWLpZ6VGvYadLk3
TEWQomIJZ8lapAJt3k5N4genSJ0lyw2ZF2XQroMwKQ5e0WdbHIySXQJyYY95WLHRwqZBIyRRVrLX
wqUIhwSh7LC7os7rznM7rZ4jBCNnnaI0n2QfIf8k7LUvqjvmgPPso8yrVR+5+LQMBmYIYFGRjkYQ
OfICbyZnJGFcq/7aeMGj1g5p+L0FTLGdMmZdRV4Aq5sHecymZXYwCv5HD1MbGZ1bmzaS4n+2TVm4
v49zIhT9kE5Vb+wBRw9MQKWOv5kQmHBjtV2Wj2LcI0e69ixppYsYMckZv8jm0ZE9/C487ztMxa3v
ZsEbsRCFiQIDHhSKEbhD2maVhKr1aJdksQOkWT5Cc87Tb30rlQJtNzWVrrYyZOuaxcCu85BL8grW
m4Ua929Z4e0DJ66PlRxpa4tI3ozAp/cdyGmS6tp3Ka/fMpLLr1YT5YvCboazZuX9ZtDUfKu5jb6K
pNjfo5QSrGK/UvZaqQRHuS6wL+r86FUT8Qs6AM0HKJdVE+n+lz5CtyM3e/8CMYKZpkj9jVe22oPl
Rz7bYtV4t8RnlszQDeJUE8dgoimYXS72Y35SjHyFqQFE0I8zHVV19A0QfJV7w7y0OJ+VudN9au2+
x6FIJ9Y4ArFqTKvkRnKe+lgUB3hNwRxZ4+BTk4XA1fh54P9B0RnKY4Oy8bV06/pBZNGjOlVnWrxJ
6h5RmrFI8I7Ip+R/TQ3RnMgn8FUgRLi4g6SGABcyNGWI5f8EWyGKuZCQnDpPVRYeeJsy9tfkCrR9
HHUQLjzMXvS8YmaQY2lRKU3zFJkd8n9lKz7XXv4Q8utAd1paRlGU+bM0zPe91nrvmNlA7PcC/Vke
TreFgRR9ZaJ+cWtde81rZdg0Seovp6LjtKjuSzxpt1b+LJF65unf1+nm3959Jl6rsOhB8CuO/DeG
tyLwp+jNQnoS+NaAbdK0eV8M7VkWSbSrROmuoEtmT27GskRXE+tbDi7Qq3mI7317eI3bHuslqJKr
MMjTp7zw0UbNNPPePcF6/HbpGILr7tZ3vLQxsknQR1TnN6J2OjRA6uN4XxPx/ShrtLabLPpcV60+
D+owvehRqW4y9h044inhxYM1OjelzPucwMP2WJRPg1phRURBwWkM4CbUcSbIjSR4srxwpo75eB/B
q6cI7d2JmTC1/Sz1aB3/0TaOA+Vi/S+yMkDm/twowTjR0DCQTY1/INB/X30QvnF14ITWk0ZqdxE1
fZS/xoY7A2IWrQGKVXtbFnAzp9OyIR1Zj4dbS6r3OAtN5bgiEzn09txLDJCk5nCccC4THGY6+wMT
80dRCKNHPaI29Q1kKbSBmrZlAd7aj5aisui022avSIV1qCOMwSqkNZ6RKvFm4y7oI8kPiDEY36ZB
iRQwyAqblayx558GVZHHY+nb2rMV5yz147Oq5v63RoilrVY8JQWiwWYPGAZ23xcLVfVPjlJXuELI
xlXuUePMosA81qEubeAfyttIjvyjAVxgpQ9C2jm+/uK7BNRwBCoPhOicPfjQcCUlg3hK4cTxrhT9
hwu8udb5gYDHA+/Rhs8icoxl4JQ/BhEID26D2LYWPwf1E1KgRKqrjNXgNigc7zRum253clVJPMnI
hM9aAEDrVneSZQqwM3gZau8LJobKQWhRuBvy0GGxS5SxclnLVl3nbfQxBllocjYzit65xSCRl5qN
+83nPDYWQga/iRan+Slvv1cjzr1u6m5VEk/Z2EZojdWFFmYXT48+JVbiIo8GV7eq1FdkDN3TVDUd
pqKTxCsC7+Hhj3q9UtV5k4hymfbXqNH6vT8KIJIBgUw8nt0PU13ktfkG5wRmKLtl3yY/ptEIOI5d
46CMFFTLBE+r2ql5UFtTfZ5a0TM1DqXz6JVdtVXRrn+NBmdFks58lDvLfyh98RiPJLBMr5wNZiLm
QhpUnDkb9ICyvEw3gvj7YnpqFbtPN05vN7fi1JqY+dZV+rWR19+NcWvWAdRfEcYxqaIohcqxAP95
dbNvWm9Jh8rpreO0wPWVVWDJxfG25lVtE3crfTQDIDjNciZC3U3IIepplQ+6miUZu0xvgVyBf8hD
P3k0hvDX+oFdH5qsyePY32gS501XD3EPwj9BJvc5avylPn2iIMm3LP3xFdFaGeMlg/+AxB9muLDa
xzrycX6pveW0z+zTJt8mxIfnIlKbx77z83Vua+FqShS6EXr9SaQ7h4iv7DXF3UBW+hfQZ0+3dTtY
L20xaJK8Ym1sIXPfSEe7rdlehnXxyaijizfGOtsw35lJaryJqAsBijvBuXADd+tIVbUOPEe/xmms
zmywKt9qvAmi6nsK1+Etza4EgzNIhH+dSNKfNb82paAXQgzJ7n1SPP/eZMh9U8oB7MuYI8InZcoR
pBUpIzVQvNXU2kKTLLL+HU+ztGev7vLfOYdKUJ+wC40OjZEFaK9V1luTlMsKo8mvCTYIM0eJhoeY
RRJAQNNexYFwnpO6fZp6lEnAhjWIn+s8LtaNjXmiEjfFtRmDb1MPC+GJ3Gj7I+axsGdGvZFyPAgZ
Mo3sJ9jZKX7Pvt4MqUSpeB43VvicdMFJU+PiMr18MkoMyC/Tz3hsu5dqzful9HOc6/JD/Pe3vyNb
f3//j3AbMj8Kibq/ayFphlRJntz1T4ODhLuCW0SQgElyHL1dtFlo7idixHTmNS4bIB2O0yIcnTFF
3bqrBiF8wO4CHj6xiX2hdzbZc/kpsiJnaTJVrXsd9yLTTYkKj9DiCWSMEUt1rjP0iQoIayidV3uT
mfXF0p2X1I7U81SSMdvU0vApCojaKBj67pi3y4WXWsYbjOtvFkC5h9yppFM0YBKXwDA79Y6E5WTU
Pfh1W0H+a74ZKNW+lUTWwC60/Wuo4aEUlPEl6j1xykJY6IFtZ6fSsdxNiI/jtmR3mrCHXPZNgVed
Kg+HOGgwAFXbx75I1XmIEdnKdMgq5LzrvjlmheYzaKNICaUN9oTvfYkOXIJvAt+Hpy2E4pRfFJ72
VM2tV73X3TV04HRtFnnz4Jv5MQbK+xZjKzrlleQaXaJeZP7FCosHIfnhtusCc++mcFGmA69PEIpZ
gdzayBMaeVXtd6HyviVDExTOJz9zEdrU5HJvW319JiXGq7QJ+qVmdMWqjFz9XDI7zYVb2CtbgCiY
wdpGtamJrKvtymcNGNwXBcAMzsBZimdqnrPh6VeZbL/6eNa+23aQYd1RVstwaMK1WcrKnBlAvDqm
iR+p7rdfPejwpVcIf9ZoT22qO9+NVnpgU7ypyc4vegvGQh9hqFEr9Uwkvr2O9NrZZ13VbUxbwjot
S5dKD4sdz8CZDLr6dUibbtWCi1tlbsMOPK3Pag5+rwJ0+N5E4mKTbP0g5UTMBnMvz/Vt7CZHEXZg
MRPbjw5/0QLTfmihLcSHzvPDh+lQFLKylyIgfGNVJEnlPEhsY5kbmXLEBQL+gcg/dXZ+Kcw0fwKV
+6SUDt6qtiI/Z5LyknmKdVLDvDr2RnmBCACkPwlDtnAfodykBznwsGHp+q1nJYEOETvTDxIBaGc5
+GbyJkyixnkjl6upKPXm2c7ZHppqK06NWXczT0rTN10Kg0UpN/5edZojME0b/DMqYhODxnc4K9Bs
inLfWye9+FE/NUYEMQnXjF2mMmpjnyUrSxet2z+TGUnPRRw+szqpTn0X8iQNQtkJUbUvss1MDTQ8
WRMk+cZ7Vzwkdqsdu87aGLHuY7ttog7M2cPUKPeueGg7y9rlQ/ROjpEeAoWErROgS3YrByjiYvCE
CYzbpe0yJ7L8wjKmWQK957U2Fk3NdOayozTbFH3mVeBgdCvqSkL+xcT5+XZq6Q3bJFZcoz8ttZHH
C8pWJXTcT7nwnV1a9ZeiD42zndRrdp9L3cGDTSis8ML6XehGexnqJJ+rmV2uyuBtKMnvhux0+ias
vgv9UdiWeK4i3zkU7gB3uIihVUQNJJKQKR0JP3cjC6xTcx7nSyI1+SUdzyxduSRM+vupampssypZ
C6F5+DrQA3BTcpKU8j0iJZxVlvFURnK7FZVZzqeiFXgDkbfoSyil5hPawuKaNNk8Hkt5BmMz8NoG
Y+BOOgzjATTZj7N4tAVqffPLvere7d7XgVFMaoO7/xxpmdUeFO/3ws3t0c4h3NqN60AJ7ZJNoCve
UQRBtfZLLTqRSuxX2HMW58HGyMhJkPYQwrs4vJk3WZIle/SIscjg8d80QWYfNJRSV2ovD+euqLOl
C/jj2gwR0tO6kJ/y+KEsMQ2O7SF5QNc6HB0sSsxMnPqMM2ZA3Csu3zA8O8oFT3oUgy1Q0upzWDba
HKRectFIu24AUsmbFmeneZFh1KwQRd0qJlcThjS+MkQxty1N+WKysVDl0vyw8+RRYQ0xr4gKXoQm
LREXyb/rkMp85sI3r+UTCj/KLkYa4I7V1yebR2kdqbZYdwZYGdmyiS2YvvoqG9W7aibh99Q8gtJE
YIGH+WKSe36zfC2fF61SXZF7aVZFXGcHuyv3TkhO0PWk6gLDqJmnFZmAAjs+PyvjD9lnm+WkrElM
W09X0Avxih4046iCI1n4jlA+6aI/EgOxSVQ6ClP2qpLN4kvgG8NS2HKxI0xpXdNKfMCtYKIka8+O
uDIfkqoJ91rgoeSXtP0JdxW2L4bxHiq5By2j7jeKXzdY6bJEQrLooQGl+9UBJjdT0qS/9okuQJiX
8qpM2+aV8AQJEnoE48LZLrLkQRVVBg6g2sjYpW+twTG3yhBmB/4vo3Uv1+bZ0QssecQoV9WFzgbr
+P6Q5sDxu8Bxnwxdry5W2e0imKlCwwupIN3rdXV8DBDgW5NBxoDDANzl8V0uTBEU2wn61SBsDlLE
rhG1orVq7FmDpumTLLfpVcbZVMtrY2+UbTzX9FZsm0bxloOtpG8QMT7IunSXwoHakWn+t2Ccc43I
meWtlM8DlThs78jmtg3aft21UXr1VOEQr2yqr/hiI+bZKNgrxB+FHFjPhawPS0WJ3nCVyfH31JxL
Mh4g2IsZlnQyjqmSKs0IBCmLobType+WzmXq6DimvrZD3Znd61B2g99iMLGMV5m6xUZnXuzbtW8X
i01l7YFqaMXw2kuev7SzPD1KHgFAOIOsn1stPmAn9tmKNOcYaOyv/epx0DS8IgYVwVoHlnuJr5xj
K8ccgsp8QF8b6Ami+E5cqdu0jfszNpj9OdikfZKu2BwHm5ydwkI3G/UVudMvWtl138nPDSCVWaiw
2y6lOJlVtZMtBbFvpsvYG3a4Js99XTIeOuaRjdxjUxsXpvJshp61cSMpRaQx5XlV4k9gZuLFMPpd
anLeHwYX9EiiGZi0mVqHHlCUrWy5tw64jTUtSkrNo5FZyWaqux8UHMt+dKlslbiaBfyL1QiKhFX1
alfYGqWWHry0iLov2sTQLpHjs0UFCwGeex1qAxQBCAngexCCFGohZkNQH0WpsQUkQvWIc70xg5Td
bac6JdHMWTvUkIol+xJqgfVBLgoXhHntevbV01glB6r8RZakfgfydNjpEgCjmYt2ctCPoYlCEiwE
o09SFcRvQvYBrAMHGoHLNgFwfwcqvUXmTDPnUWeXSxMMveEHJCQxATvIeZdugwG/OzuXpUVhDSqp
Pce99pa4eqZ3hBvt+YgDSQRYombtKmX2QDwNSjKOvfDY8FIfTFZNUGrLZzPrw2NHXINQSF0+R3lm
n5xIf+L3Yz4NPWwe6OB/McStUS3mTgUr2MUtipYE8EQQnxrConJPdf51Kpi+Ly+xhI4WllUOlwhp
rNH9rIOZoA2XWx1qH2s1tsFejF2mBnYLaKRIaMBQkws8pGUjZQE8qqZ1jlUcmib+cRZreHkiG4kp
WSAqvDDHPrdTZiJ+V7HcrpDMRxfRQHJSkqF2Y8TmHqcDPwNn28C00tAWORqlyQsgCR/qQsIuM2Na
ZAVrYefaIY7CN7M1SsN6mOpqO9upUTVsstBWEZiC2dXEJln4DjU4OUVTpehPZJ20i9z3xlxzfe/B
51Ove6uPNxJby0L1Btho/RhCOINgXbSGrPOaBrnp5CpcnFB/ayH1Hf32W69lJFqbHrN1m8BtHkTW
rnIr1mLjmRIhn3OrnMrTobZOZHn7FY539ZKwKSmKHCakkOI3N/Kjz5gJjIooUv3CfK/M69D1HsGi
BEsdF7SzicdUF0Rf2FyRgG9KwPuNwatlLE4H4aigag2H6AC8NprUzjJ3qVhIIlYvWnUN9Apio2wi
veLyBSOJgHKy7JQxjmGqgL+B6808H4gH6JERL4JB0h6mQ+FDCWS11awUT/5RV9ZNQ8JGLbZdXOq3
fkJRTiT0zANG6c4qD0ecuKXouzog0uKgYf2k+GZ1FZWYyYjgPulWu3QiWXoYF+puUymvGojVAwEC
91Y08iSZh70IV4mahyVauzhg5Mj/r5FgisnFZl9t7NlwDhBix7MWsGPG1tZASWPeO/GwNhzX3kel
9OKHWXQVMCT1pqyevL4vMc6xIT3Vyin3pPLJ0YQxb9GoZoaliAuLu1ZaQjNu7Z6MDFAV1C33hKf3
N2UYwlcvCcttIGMpXzhe9GrCllnqogo2UyuMCLQ7fT0HvUIrNhOo3EbSo2zr8pX3BzAWqjurhbfo
Z+bMZKO5t6QBwGBraBtDq+IFKiImjKmoQrAJ9Bg8cPM5IZSAf4UtL4jr09rLyjrPeL1LkWUQYvHR
7wQmupzGqk7rrXMlb5a3sQ2gM972xPnGzqzwqlU2gIyfWqOW2B9WT8WtCEyLF1bfyaupcypi8pud
jpzheF/ZwwW5xLFpfRvbdS6+Ypm8njprba0uSt92b62xWTXoWyTF5jY2ECTeWlJC058QDb40J8Ma
rTHj2RiW055bpO9XWCvmBzvagz4JnqRq3iqyeJIUXIeTsnuBReUcMz3tNkULeVPSOnFuaiTogtaB
OyQF5q2uVr7gI5mfblUtYgUnnWSzK+fo3IbsmAGa+ztb2OI8XSPF8hjNkzRY22k3T6xUsMQLrAXw
6XjveRC/Yb19TQlOfckxuZuB8jDOiWuEGwwgd3U9JJfGiJ4bOfJe4SOrO3wtULx2Ou+1jLDFJNbe
r6ZWwAMVdt2xs5taM718TKqsvXiBrb00X6oi8Taqn8mLXBgliiFmucDSHYv3kCQnnhbIIDk57iCj
Be9fp/F4qitJoc5/6fDLqZ4o+SrqCR94xtWFhPli8uc9Ojow3s7xXjR+bQ9unO2mkmQI/Rx6/XUq
hUOKBGoqvk6lkj8a+nZQkG4t/JehRDvI7sjRTVcN60FbuSBTFqEpaefelX8cdGlrScI736tZ8OPz
7noYFNPpXh/rDd6nPZniPxoyL5RnhQtb4N556kI8gr0OOmbi5+3clg2jUSrKM3z4VSDq/s0eTHcx
1ICaeyWVj7JKuAvs9MJG6wX+e+nPg9EFZTrgq/TjLNYMm8c75R1u4X8ytSo/z+IscZZdC6Hkj4ap
89QqGsn7pRWyD/YrpqiIShB7vV21qmyUJweAew2kYgIs/ZDukAv7cQhZKuzi8TCd3Rvu/e4Nf/T7
P3S5X34AEB/Npuvfx03Fe5/7nf4PXf641H3sP37Kf7zb/RPcu/xx+cobgXl/NP9xp/tl7h/mj8vc
u/x338c/Xubf7zQNmz6l0uI41/jB9f4nTPX34j/e4h+73Bv++CL++0vd/4w/LnX/wv6ru/3xCf6r
sf/+vfzjpf79kyLvULI61LI5AiEs7YLxMZwO/1L+pYlUFKPS2P4x6lZu9Ci7XeVWvg34Zdh/vMNU
OV3q11H//Inud733kck7D8t7y69X+v/en80MW2+hh6zO73e8XfV2n/t9f639/973dsdf/5Lp7jUc
CKMQ7ep+1/+h7cqWG8eV7BcxgvvySlKStdmW7SpX+YVRSzf3FeACfv0cJNWmS119b0/EzAuDyEyA
siyJRObJc9ZXdWNbh7cv9B+nkOPDS1+XIE8h/+U3NnL8C9u/CPnfLwVMfR8KKPz4ZibYfT8lzqYD
Ij6gYTJIygCzYkDuwAuMlhWorRuFistqfVcwiPqxzsMTpXRT4CRiYOIAXjmhSb076DU0m0Jyx8PG
NAvvDMwvOujINMxecWw9PAU2eqPvdGE4oYmiUoC+vwBlBkAvpVzbIuZGum4k6YaePVB60qk1zbkS
rEJvunOduJpWKbgoMjKwHLPiW5QyZW+C8jmoyjLfoSaFfJRa1k9AZd6ZbcXvQbZUPSnIvpwsjz+S
j6JafHO3nt1NIdrCqycK03NIiSVIthwoRI9UPCJBSF2uSgFFUwPDZWaavy70L6+uu8OjY+kRkqi/
ubInwLykR9/jykAGrnLH8wwklvBtcH+caezoThJMhXd1rw7zPcQ2FYTUE0Lq8TqN5tKB4rz3Vaw2
T7a1ieZdrUFHi9FlqALQKR2QJQRJ6Tr+EJS77hnoS7H7MAfI07/CP1hBrli4wWSoI2j6wOEPlTf7
ftBS557OCmhXDEPVn2/seCBKQzyf4jN0M2HiyWnIY7A1/LUGRdChwfYWLFD2sFttdJYUznCHNsg/
buy0SMPcY9fM9oGcZHKKcVuqYty3wNsDM4k6IYScLLxFTlDZnbfYyUl2OlsPgNfZRxrORIBHpy6K
KVGXXefSNGamUZgaHYfmWTltAQEYgjSbdc8Hvx579FsNSRKIGin41AJCjbSdPW0zr+aPY6zyx05r
nIMzuC9kWu2g33qxSu5ir4FQOpSAI29tMx4CIWeSbbkGrbQa6TquE4vlOuRQm/lLWXdsR226dAYe
qMu1X/emdRckfF7jL77lnHp2qXsXtLBAO/DQAy9nghruQeWGUYDXvC2h0d0qNs4jRe1+Oeea0amQ
CEd4xLthOnJNt/2YDWXIMuPaO50rveciu4Hu6PVgNAxkncjmk+lDyG3nNfnjzEU79odQQ4lGmk6N
2KAv8FPw/EM4DTlr00CjNCtc+5hIUAQUItW3sgY7kFTSWCMSW9NAGjyWgb6/Af3kJcDnWzI6Ui0U
/a8WEiBh/Y4NAqfRsbJjVI5kBhDflKcUVVQQV/5FhAdC9hK6cnxYSPMa4pOWcRzVsCUOUItxA9YT
Buq4hl0kQ8E25V0WJqB6TwIgBSvAQcosHCOvuzSj6C5k06StR1M3JIeQo93SmNw360xq9sD6KN4P
NhtPg2oNJw+q2BBbkOMMLPRHV7+v+3qqwsWB5BPwAJPTf08gboPCvT6AfzluwnWFvsqua93YErle
pN/fmG01VXaKPl36d5XQD/eVq4poF80BcgjahzvMcttBCfC4xND4w8zlJjNGqRrEAD0F6PADP66C
imlZpK8j+sJ2lRSbo0PxfiZIVG4dk3sY82XGjZ2G2EEPOyD/v7Cxd2cfiU90TXloYi7NVDmvhypi
16EZc78HTORETrIvcwd04wTx3M2bdRqy6lE4NK0WLGy3JhoO0QY1ggzQNNIUIGCt3UAo/ash+jI+
8MoZT1VWYWOasnafzUW7z43CVZ9GC7kDdXKrgGI6GZhTR4LwgIzuUXVDHvKeTG6i1wEeRkfQgzBN
LQNPhwb2PDnzHW5z2gOaWfUHOiuhA6rPaX9e7Tqk206lboG7CKGeClCtr02NtXPwstHiB+N6QFoP
fwlQ32GqgMR6caemB6rK96tRNJOXnGoFJRlcbX0BSVex08DM5Wof7FXRAh0DXbxx1vdzkbY75KnV
Z68vQVSpRPZPHXIeSV+O311ejUGHpv7H6D02NZz5JnZ0vnS4TNGCTznWUALoGcjRCo8hnVTFdwb4
msbF3dopMpJAOlxtNRqroH4OhR05Y5lM64yJTOq1iesz6enAY6aFtKI9JXcUcjtFro3W2hSs75hB
3tpqw0J3nMl+AGa92rgMRMP419k/7QR9IlrefkvsDLweFise2g7y6RPEDLcW+lxeKJboWn6NVYfZ
QpkG0AdF7xTf0XBLop4BBtUDNMPkGEoYsWqAV4281G1AXscF0IG8NLfuUYdUPcP0uiDCOoGJOrnf
ST0p5OuRgW+Bn1qH5G2lEhV5yxqqMp0JQBPTwPLr9b4ZFewBRCXo4JFnq2O1JdILBIe2szN0K1Ac
HUawMS8O9G78nFHhm8cRRdR1Al3iZiW6hADbCRihsTAFr9cu5IsC+oqdW8CaDMdsNrYAHC+1p+wr
+qAgB6N+jfEGoFiYgmp47LWvraUBZNWIZ1GP6M9T8gKV8Fj76lSqg+KnGp3jYlYhgIgPrJxOq1a8
6vYT8r3/btVo0sGNoSjQ98HD494aXWunRQM6s4HP8sEfNpxSPY1fk2bexy2y/dzN5pe6rYNJEqOh
f66+13vIRsUyCk2LeHa2oTFDXi/XW/wpWJK8tCS68sYTeVNT/bBkJSoUirGGy+ufKCkUqDB4NRD0
Tv+kgnB837uJvYXYlf1ZmdN7ug+vEQWAn/smdaxtwiyQLptgpxr9brbaHT0nz1lqHE2nCm6eldFU
iSfwWVWNo5VdvVcbeVLWffCICbcff3lUR8HnzqjZcy7lG42iAIuOyQ5cHZXx/n2Iomh8psNcOXs0
RzdnW4GeHRaq75jmpk908ADwaHJg8WgEbgv93Jr8aAwmBGBKUU67sh8H/Mhiwozv/5NTFjyQ+lu7
GlR0EInh6qHhvXOmEKFH473tzrt1gm7P+R1+QdFVTxPQymwFHPTpS8xy3Tl/aOo6WRYxQO/4kAgU
PulVOIDhQ7Y9snyKpQNQ00UIbNO4NeXys+I2wQRVhGelCNUM3K51z8ZnEXd6kI4QviXbBMTtCaio
n57keyVTW5ugCirVsyNNI9Dp27yz8RQphw02fU+G9YV8FG5m6CP1SrTscDUyD6KMvoI7ZDx6cTwe
RTQBhU6ndMDPu6JA1+I94DaqffdQDA2jmsetT2NQnaUb3ZqHZc01pqwzEQXrbFrX6sT1dSxL0Lgp
nRd17OLdTYjNVNxRY+9TYnVQUuk98+AOSgrs4KzilA7rmPwUSW4HVFnXSBrba+TiolAUJESgxeAZ
oSBag87WS0KbQDGC316NIrFHTcA6CGSiqrPpwQHBYJhNWr6h4eAlsA3G9DC4s+OP4KDY3jiisfiZ
oN6yv7XX0yFpSu3YVV1hQ04Fi0zusy6a8T7WYw5wUulsPewsLyC17/yom8c9DemQ9+6Tag7ZiUZt
lmmX3prCCgJCD7UceWYcX9CYuU5pwcJx7nvrLhJsTgOv52AZ8MpvGtq/0wAcLzO+IjrI/mi6vPBk
JuOWpSVwSm0XAN4zXjpHTZ7RCABcZfRMByOzORBEVnQopM1lAKrOswJxFzlEtb5/qGL90JredYI+
AMJgQUiQTGhFKzfOPIA2VsYDe1udhtr5c41HayDgXTbU7WRAO7QiiIdE3NFw5k0PMJqdBjRU3MJ4
qprPZV5crwZWpBbpS9vZGwXPgbqpDSRtXKlbBi7RDH9ZFoegWIdimbSltQUQ8To29wYa5cDVj4BI
BlAUDelgpHYGHE0dhzeOdQjtFnObWDYwgp8NzYVOjjBiSKW4KDZN4LG3AHwM+cjmLarwoK530+Si
pq6fiab8m5fmmpDkodjCcONnmo/m/tv5FJGAnHaJWK/wfn1yrmsAFAwuX4DQPVD9b60EHF55Bwk9
30bzztlV+AadGTGIBKzxR8ez+JBJjLVP0b2dOoFIjOmRDhysqecmYqC15+KxstHkUWZRuaPXBIpp
SDJY3WkZuSijMcWa/JzejncvvbryN94CKbEPc3s5d5RvXaXm1h1q1TE6nAq03uRNdwBcENxSAMA+
TUlQpLLgLy21mnkHe6r+JNcS1EX9pmjddLPOice68MUQX9chB8iM/x/XWa89/ffX0w+zGhgWGMra
wjJONdN3Q6Zbex4ZeN4qhsE4iRbL4NGrME6FbWSHCS3AkIU0TmQaybvEUHiLppyNxj30ksgpFElr
01CZoB4RtjEIn3jeig0Zyb1ckcInNCFt0HzV+amb5tdf6UYA5+M3piHuoImxgfpdagZIapiHtC0t
QLfxm89j3PIgMYGxR7/v5EcuR7ibpuX87vpcE03pHlk+5R5fkPjB7Qt3O9XcANfxXzZVOqB/h86c
Tl/sFZh3IJYsQ6Bg/mXQrWZP88lEEzR8fEJ8UkCLIueTYxxK92TrQtlm5YR+jrE5ASvRnmbNak6/
G5KDQgRYre1uRmvtf4+llYo0/ubYYETr7OdGMZSAzkyAVpazStqaQoH437v3P8dBD1YBKhjJTLfY
3HBj0VAHjFepUgBm5XMcmejQJUP8QYa7ALSgiAzQtpXxWXNiNJ+hvmyaJTDOk2kAwJw9G9IclX1+
ENhLBzS0WrTegyNJAYB5rl91DUl4ZIFAOCqD8US/rDHjmeYxc5LnGM1Krzjk+NqaeI6BwoVdQu9t
VzfOE4tsqEmuQzSH7IcYhCY7hXmLNwZZ2SWzTesEivDpcQZNiiWM/ggSNPEYmTiwVAELdpvqoTM0
+PGaMjs/ze51As2ig2sUy1Qa0fzJyrONAyhN2LhtgVxnL3a1lhqXBo1Wm75Bnsy0LEjqSVukmDxo
apstIeQQWMAHM1t1aHTxRx9b2gGpYeMCUtODmiXqWeu5mwb1q0Cv2IVLl+i5ctbs6Y4bjpdCSLsU
h1zR/1wiTTRrAZ1u1gFdc30xRQyu7wywmAYY9iPZC+7xoIXEx25Zan0x5KYXmDnF8kLW5epXzcud
fZXpMQgTsLEz5H7STZXhDlB/9G0p2NL7q1ETM3C3tF+kcGC+EQnS+iVmXWJ1rLZ1Gaj9ZP6M7ym0
7qfPSKG9oqFSeeG1sHZ1bzZ3vOyKF2UGZxmAjz9+DZhSCF50MdIyRAUkVPTJGCDyIjJANbGN0G7L
j0NTDimYvBS8Dsl7M7e2AU/nwFgHY28Z5zIHHmiK3C/At2rRIdZAl44mHrB8dY0ikKbJzDNyu8aZ
otnEw7wzxmPN/yxqyzwkoHg6opMU/6pWgU4lOkPrDiRisELHfDoiJUReIUPojA4dQ5PU4rkd2yk3
DvbwA5JmNvqiZRwtR2MkkXq0QreHTMSga4/zoUQbNA7GrCXK3dQiYT/jPhIMVlu5fxaFWR6BBm6Q
+kzL8siAiApyJ9ICmsTcwtukfZ/i2apyFPPcNhA4ikeBDkCpkC6HYI0SD14S9RAh965eSx26ywxp
gDMa8F6x66y/9GU2+1qdRq99DziSNtTiNWpTy/c4q14jB7KDdR17UFFgiq9Y6NntDXQ0oWzgHTSo
0y592maWRctQI6oHsNV8GK5e6qv7t3OLIk4DZ8SWnMvuT6MHPMboUg3PCp5ztiXbCcpnQLEL1AyP
Y9xuyDYBcjmHi1tOKYda23RyBRMNXRtP07uN2ynNHehT3E2Ott2vep59ZmgxuKhDqz+MZVv4ZK/K
wQxLFTByT4J60f6MRzPtSzS3/IA3gEGppMy/oruN+Sz2ontgAeenRuEXssd62W6LyLSQGMNFUsa3
vQk4EQfP5mv6ZiTZ9HOcY8gV4GftMjR8voP6SXunmmX8hO0gMPR2Zf9M33QO/hOKBL2ZuNgZaGGu
T9bgm0TnEzQdQ1BYFOiBepefJyNaDYqNEE5xBhrPeahaRQmU2MLd7P0srpAqJVv6frZ6l7Nsqs99
BXKsNLYvCZ5e9/gsGvd0QBO7eW9lEVQboRzo3zhoKLLo0jSlu6fYNQI878iEWcCcDkX8BHK/6lnr
imwTqYD91wyNY5nSNIE1OMUPPmXBbIrpLYa62Gbu8o8RTJZI/mME8UQVWRqUaQI10VhBw0cFqs0d
2G1KfIsUNXmI5IaDJZ4TWio4wRYR5YQ2J47chpA/itHfoKTW0QNnaB960kFer3DxpSm6s1CaDk0h
ck/zYZpcGzXg6ci6M5dSu/qAhK/Res2TADBxP7qKvp3mRvmMDNYSYaDpxy8FiIfsDC1RFerDmiRT
hwr4N5SetSOYdfkTeBTFPbjP74wKLztQa1FvLaGPIcXSwVCLb6Cw0440avt0Rk/lcAc+d/aIzWUw
zB3KkhHE3EgolzPk4WoD2ZGZcfHJ0auQWqBBj4rtMORUQupydnVH813bVs9oUAyKRBuU5zQSYgPW
/dpGpwxocemQ2Kp6UCx5ANa8xK8IToGtNXW0FPTfS/w2olIgPRQue9r/6bSKIQLZoR0Wfa+tmC6p
/L0G2ZeFGk5hYVuPxoXqjzni1XaV9JyBu4W6XwutQOHckf1W9ZNCqsyYjoVITH8GC0dIgeRYl6Kz
OGe77H2pm7DcfVA8rWTpDpQrehby0go5t6tHqymw0TTzbNfpvAiZnmKnqRZonO9V6Iya3fexKb2t
PqgzpAigT03a1WTj3jAHkzKxCzn+0abKuejwQ2vqGkNTio6NQS8mLaTC40oQvZQtP9QxE6gXbaNx
/ERVy8W9cEf//Xwpb5oGJOkWzum+7u3tUPef3DQE+aVv6VNxHsUwJJtcQaunU/1tmMsu42pEhq4Y
+I5G76Fc9iJ38vBupxVpRHaKeI8nuykFkt7j6ZIU6r3ZLQiYGslaTYe6iewNG7rZX210Jvkzz3rt
gcaWYiwXvITo17/O4+6IpiCKHPMWUlpj7mzqNv8Ys67IQby2QzXqJ/QS7EPbWvfL+0FDsF6hLRpv
wPoXocq2hJHJrRxUAd6nLkPy3NiQ8f0WxV3ra/qobhjHLxuxCzTM+AlA/fAQA1oMDKvmEwcBi9vy
ZJrgCaUomuTEA9gXJJX53ydxlp+vpRIt1aD0bVZod2tyAQ0pyDP7eWNPZxrHkMfZDgKlRLIpMuZj
ILquN/i1cpbZ5EZOWENlEfk3YK8NEA9lf5iovO2VShiPdJj54ITOyOLNauvQXocSohr7ZaWa2BZD
qn2UwmF0QLYafKsdct7VFIHBUUqFJXZuQIz6jQI+mPtB24LOtgzItq6BnBxwT8xxljXIYVead9Zj
PGrKS/Xv1wMKqNjOszneOvDM8QOl12G/Lt56+Bo0Zo8Pn6ffgUEJlDBStBWkht3F0Gv0WTvmA6sg
8ApxyO4iA8hEAXTInI8mCpUTAVa2lom/rrUu/+taouZfvDTTDq6e+I5tXVVkMq2G4r0W9VddG16D
FEmfPXPfqwV/GobSexzKROaooCUzxtBXjVREL2MkrlCLr7RrtIN2nMcaW5nb6PV6NEOV65NNmJP3
OGF9GvWN9pqWyeuUp85lGvG41+ZGsqchte54s3NEFxo7Uw9PmXnxJdOONKCgBMz06GU0X1LZ90N2
REe7fABqqrPQDBb0kM4LNYZvDs2gGHQgXy+1LiUv5SCJC9ltvBiN18kl6tDnJ9dQ0Xl1GnGZ0pOV
LTWqtrGaAGQBnP5jUg733VyII5no0IDVaQdRbB1kjghD5hFc8hniVAvggVxx2kM7mZkDJWHIbt/R
ViKnWxyd0gEcjlHINU3zaZtCNtqW0NlqW2fc2GgBE1U/X3XrfpOgARSQIfCFfSANQ7Oos+/UAkoM
kk4M7a5XwrBadBvL0kGROUBccKugf3LbyQLpnDflFm0G+baV1dTVK2L9x6QBQYOSXhqgT8nZ3MDk
aUjeBiXHxbvC5AlOjyptssy9cSxLSW8+45MMbUNkt9BFBE2jz3MDpq5IA6O/O2jW56jX3yDIVD2Q
s+e6D5I8/aUtO+9J6MmOzEkJIT5jRB/upKf256lW2b5SmzwkrxUzZRN7Gepo8gIRtI+XCyxLTs7N
BVBM/HCB1GXuFlSmQL2izYWfrCQPMETahYalBUCf0PSgyIcDCDzdUx+JNGRWmn5v0cgx6+A/hRCc
uR312gapRZ1/mpTuQgEAUDogu4iNh3Um5AGT762GTbAXmV+KubS2EHfBx8oCa30xleCHkZiVQYJd
1gPZKgivgN622q12L+3GbQugJPJcEAe7mUpDhcCUci76dKEX9b6weMpSfJisPu4av5f6FHSw6x6J
KjrtMkCwuDysbrKJOU7CeUQiiBy3SyzrNB0KxchCh4begUfx/TD2AzsMDaBL76YYaKSTMYFoL/zr
FC2Hw8w+xNQ8nXY5974P8VTfgytZP3fKlgaghobMs43H8cXeljuyk4XOuJwz5kw/49lmNccQlASn
HYqsvyz6Yb3V/suiMQSxhoqlrhPo6JySewragFiRa++mKX9btihUOJGHm/0HGoW/QPQLeFrpBL5M
36bZhGzxr7GOXK1N0rdlB0TeZT8ztGMIQJN7zIyyRUqn6p5ZgQY+VZnRjFK2DniEW+dF2OhMB2HN
n5Cwcz9p+P1EDk+LTnPWdUfdABAS+kXGM97z0U8Urv5U+APpfMk5Vqtf50SaEp1YnEKaO6/FRhtF
IMoau2JktN84fp/9ASQuDx0bQOehxth9JeX8xhxwP4AvUgQFA5ejM4o6REUlewD0eNrbrlB2usPq
i6t5LXY+6MMyPNAtS/IwkY6P08D0LzeTNN4pYFs16wvvwHvgCt3Zm6MnSqhO4AES/UGds82tyvic
d9N9IdziR27k6KTE09sT+DU79JgiIlFU43M3DveUP/tdxPsa/xiBJjY3qNAFHLp9/gm8FOUjAR36
jYrq1mdLsA4NYMkLASrqRLUPEzi2FphD2RiAekINY2tMYK/qwbe7a4xqCOrahNq2REJkVbosSvN5
SIsKoCVpUcJQoLHTWRbtNdFvMoiWAFqMxxTVGR9jta1O0DbADgTiZMuQROqJN1aDCbkTMKzIxx2y
S1OXqdWJlnhfh0wQ9AycTNHwNoO+3wboEY1XIPmIT7Ot5w9MCun1SVL96BMgprjnvYlZjcICG60l
wuLq4CcA6XhA2m1tlqGB6j2fCjoA9lA3hQYHZOQE5U9XowUebMhcKti60GwUbVpfB+eDvCHHdlhP
M9JroiwfygZcoqRr3rfZBEDV3x2drWAvIR0xMmrLjHzw8CmWjjhrzJNugIf4PCFVVdZMZc/X/M5o
OOV2QoGa9O7CaBDqN56/Qim0/IFMnxqknpjvNeCbTmhgB0XYNaAa0k1XKMDzKZm7E7zfWip3jraI
LCdEuiTfViBSBMoIGvPkThXdOab4e0A/BL3KAq13+0JHEzv9ZYBZbwyg/1/7CUwfqx3cOBuzyJPX
38Tb0q6nXg1kIwMXWQ16jyLv8C2VOUkaq27c+SgbWxC0Q+7Ca7TJN+2SQzK2NV4ZKi8dRxISyYH7
pOsbn1g2wbMCSisFfIc0NG3zP09qNRPgvEqckaSqQX8rDwp4KgEvhH4Gn/+ySUcGmTIowoyAPan2
RoDduNHc9pQxIS6JPFSTtWFNDXZ3OaIDAP9myvDQKS1e2asPPWrFNAKlI/g4gOyDJHJ8XE3Z1JXH
cVC/kokOdu/Ve1fV+TKTpV2yrzrrD0j09Edwf0LGqJ/yAeKgdR+ACN1CjWlskG+XRvJQJJ0t4TQ2
4/KPqlBV4GXy6YQtk7Zp52H0CWupjei+wXM5PDSmGDqjA1jSwFuQn1Yz6HsB4Gz6/jqhY5DYbmf1
IdcdSBkp3HPwm6zoeOf6LtqINnbDLDfECxsS5FEt76KrwHIlUwP2UFtTjuScR1VFQyWE1snrgv7p
DqLVUUBeF7easy2cb+gsFi8WuKCfIQdQd13XB3WnPLQjuMUosrbQnd2KSt3TOnqHrw6zRrEhr876
8aCh3xVsmHhFwHFkj5neHGhZigASEoR9SvtEo7QCESW2nO2JVkPOqgeJfStAo2VDb9SEHp6lDdiG
zYn+KUIzKwoeKWiioER6N+KDvDdAo3tGVzZ+mru4eWlBjuGrI5TZarxpERI+MeSCWKjG2XTXxxUA
FzKniu20FqRp0oIVD8NSrxPDB5ohP+OmBL6WxkSzjWI6YcYzLSii8pfAxIEIQNSWW7VqoQIsS3CK
LMFFsjRXIAfkDRO/JxM5bQYCG9Uzxy1FkMPuQeRE88m2LqJZPTC6ZX9PdpUpIyRpoJmFfn3t1PVt
ddck0SWaFRPUX0RpFZc6iKw0cKTOUfajxL0c5CrSkzAPp9CCybc2tIN9MoK7GeF0uoSCurLa9D3K
UpCnDj3vNam5eFhTAEIx0RYQpcodJQ7IkTJzghA260L8wBqP5Ch0hpp3rb2CIKM4OHVd4YfP03dm
2Xv3DYeuQWmlEFSI5jlQOyd75aNb+85cRt9at70fRyTk/Wl+a7Dhw7tac3SQDO0fuVl+tsa8eusV
/GvRvyw+YT9QhklVsEs/1EgImJZ2dpNpvhOx0x9a1Ruhyqv/7cr1ZH68siWvrCTNfSNq5Fnq4g1F
+49XHvr8c9aUapBV5vAwp9UWJGZg455NZWfWQvlmjPice32ugwy7czeg+PdO6PkfDqijaztjzNTH
HIRmgcPa5ovF+lcJ2sb8P0FthErnnH9TNEV9jQcnD3V86R/jIlJ26N/ODmmesfPEs3ljeXP94iQR
CKMTU/sOIY3ry9DwMpQojr/3BpKANy9DzN7fXkZquvUvL6PDg83ZwHNy0E/4Prcj5CtQhChfQAVb
XwyOnxU5Mj0VB2D5KkdU92TC0xYLPWb0OxrS9GQGVomG3JiW6ejrdlggp6IxAD3mIEV2ZjMNByOx
IBCvlRdstQBM4NYz9ASs5yGWSRiIIB3J1sWxRP1KriuQHD8DYVRe7Og6HZJgqCemFrIJZq+eem5e
D0ye5YC/28oAdKkc2ekwI7dSGEicSg/IeaDao6l7FSyVIek6mBqyCyiBzCewwYJDSf1BZqiLQipG
RpFODUVVsxCnplUveG6JgrRpwIcpRrM7DZJBhQ46HwY8H4MMOgX94351QBoB0ep7tJi6Tc2jO8h1
9oGB/NmeindFDu4rMEy4IEMFzpq84Lz29lT4K/UZcrwu6GXtKNoswIF5TBI/ikZ3V6daZ4Sk965J
IzQV3B0Ju5NYPJ2RVweLm8+lt+XAzvQjh+o6SMIe5sR40YmlVo6Erb4QhS355Gj1yUj1PfLXeRAY
XiIbozPQSAZYWDRaYpNzcCjRI+DyNEjGKW2gEyIfFqlUTocl2uQGunxRml8PnlDERjR4+h0T+y4z
FQMghVS8AdgVNoWXv4q0a9DqBztx0+apByaLtljsrpAMY24k3qR9jdd08w88vo34DUPuZZKM7XTg
uY5ukbFPkW6DbfXGMq50+AywA+0Wq6JM7mMNNy7OR3RaCGf64nlRHE5GqR+ouuPUj/Ms2OtN1Ohk
srZ4KLCDvyj4p/WGjcKFmzpm6FYJCpxSmHU02HRpBf6lVNYYdOzZqLw2GYpzKUzVeAbLzkbB/Qaa
KVZ/Ugrs10ipRi80PM7pCZqIpI4NZF8qQNMTdiQvL6yDAG3FUxwnJq1B5gHSoqekxBq0pIE8GPBI
eemXSZ1DwapPnhvRtqDfAVCpNdLkuQZxP8ha3GCewD4btMYATcMocrataV+9ObbVNJVMv5svI8jp
oMFuY0GTBr0DncMb+aewhcDcqc32hD+FLZzlqpV0J/LOsjJOXlTHEZyA33z10reJhomjf5z7u2D6
ruFXLT+Nxyp1pqCyPeVFicXfzsSkX23j+9lNnJJBy31i3bRjVW4ck8kF6Y780AIH8SSaSTxbAzeO
TS8KqBriw9mB7tvA7uWDnT7M0V/xYwYu0HmoR1vdNLaDBBFITI4zS/Sj0LkdQhLe8Mm2On43RC5B
b32at7qNarZDnkAh+8ahyfUL3HFD7hqQ+FK05IEOZV28oH/VAeLxLxOdgdfNC8ApX2xq0sskY5Mx
0KbYLijQfo1OE4DdC/v7ajZEnK5XKJ36egXHAnZLssZ5gR4nxYZmrMG2Uj7HY7lXFLBsonsp89ty
yrYcKp/QknP1PZ/V9l6VlV4lKb2j2gNiICu9uNOyJ4acE2QWWui2yghylMzca+ghWyahvbgPGcTN
hDZH95Aj5b5SeM1X3qAcaellciyjoXmFHtli7wRUiiBIZG7avGu/NnhW1bS6fjKqCGxFpQDSWNoH
OR0dUPE6vYXk6nNs958hclGH0N7Ln0cV6RY6I9sobULa6Oz/Jk6pkV6oVFCXT1OiBZ4xg25f/qJZ
u3kQ/IupJ+IoVGCWyZoXpRZMI35RmsSAfsWmn0GC7UGERwFB3rZjmbYjoYvZMe4trVaf8nLKH1Om
/yQzRbmpq+4q0xRfZJTqOTujBB6mVsxnPGtWR83CjwDq8dYz2eokCSc0OV4My7CeMwg1hw5Q1zuK
oAmmQLpTCsA+k01OGGywty55AFePU4D48g1Yu5NXwKW7fTR0+iaRqS8HdotbH+01tkVvMv539nEu
oD7bRn4yJf19Xo3uNteHelNXSfkJNIbGHXQpvSCJePlpTDo0LTux4ysehtkcISnRgB6TgjUDfD5D
Od6TM2+y+SkHCVmMR6cROlthGdf6i96P6WV0+Hg35LarIg1n80ODm2Xhj1oc7U1jp1mMDT/JodSg
uzqW+sQPSzhk+6A3AxEqoKdasLDMzXRvpnX/ykN7MsdXVWEcglNT4dMwbnrJMKlABlZ6oUraQFwB
rSw0LCcomMXW+IzKtHdxe/tMZry7YCiKAXJv8g5LulBBKyEEc0deRxNvkSn4Ni+wv1tvt8iOFMJP
kSGBFsCH2zDdbdebbzRtZFPvhwDyJaTAAucMmZflXk0TdeSgU5AhnUywu2MPqY3bQVbZyn7iT+kc
bXmfxA9k6lUXesdJ95N8ZFonrbZfJ/Fpbo9aP/6k+P/tpLQHWgxsD3hpPXORJ3WmBy+LAfVo2Gi0
30UXH5UMT5vPVcTrlyqP/tTkU1frdKnv4mHyDDpBYxnavw7JuwYjY8XO63DM0XGmFXEbeso+MmVn
8WS48yNGMfUZD78dGU5V+WNht0+AhOiBVSb6xdU1sYWsdHcCEdxwGBnEcjzHZQ/ILxuhAsDEp7mF
kIao2+672yZ7pgFv69eAc4OfAEKhpfEdyjvJF1t39CBHuW1ZclAk7eP/sPZlS5LqyrJfhBmz4DXn
ObPmqn7BemSeERJ8/XEF1UWtXr33tmt2X2QoFBJZ3ZkgRXi4s+J9STECsMSF874kSspPIb67cdeK
V600e1Az4mpADd4COgfitWhxT7oSyvZXv9IaQRPrg7B0Kbs82pDad4CwytlloLioQZy8pm7DGwiF
Q5GTlMIif2yvVW6y84edpMVcBDDwMk4T7AXPXgHZ4AUu7ADvnwWkOqaLz0P/xUcH4OfQj7G1CbnF
V9HIgn3s+8Mrg5w1F2X13Bplcs7AEL2Q0PV4Jbc4TrU9OIKhs2mzRWX2/i5JzWAboVhxhcJkex2L
Cv/XVTbylVVm0P2g/tDZHLQitr2WEBWCLqg7ri2dbYFl+hE4Q7gn3nqArrorXX3YZxPZR8eY/Ini
nkyOAoxI2PFWDfdkJxMN/k/7H+vjO/7p8/xzffqcPiE6PtYWprPxUdW2MTTXxhfyd9ODyHYw+ZUX
KXjfa+EhdVEk3xqLBeka2HbEfxoOkhE1YfKxxgRCLwmDKkyCp/S/l5otH8tN0xNQ+royh0K4UkOw
S0d9i9pq6RtetiEbaSdwMJ9eRKYvrN4ELzZepZYdGnukRvUJNya8zF44rcfPDCzzT3Ftvb+Ak+rd
bYKRKTe/K/kZrCHuU/rbbezkv1b7pxtNL4MQ/8Uuvv3WiIMxFJiuXeVAk96q2V3cxvYd0J4C9cP4
opf6KevAbEGerW11O9e1PHAlmjiUKP9mjEF1GDXguiWfQXPcRdMCTWcixzL5qDuAfdn5dAd9Nbln
IhhPoI24kTctK308t6wpOaS38iAZUCt2oOW7DDqYz3qFlETAgvBMXVD9bZu8ix80KNI95IO1GlSN
a5pZJqqe2nJB3XE0rB3ImPVpNJMRgDCyKHY0SktGENw4U1ctOWTg5KMlC9DrZDzszk4YgBZF8xGs
iJYmxU1U0zY5YOKQgztRLIWH1QhNvDjcUNdII3E0dWgW9XVUPIbIGz3Y2RRKIYemBuXzPL1ta33p
M742OgsqhWHi38kapWqmUgutRA/aCdYBaMx7sD/820N43bGReNX/4QHkFMLiKuXxlzUYzu8rGVvQ
h8eeJTfXQOIgpOJaNtpR0e73ibYhIv3JNo2DVB8k+3UDFlin0IytU9vISphgNUUerD4x6iJlMnUJ
YUOYmkg4k2nG1HxMIrQOeX2YqEeuHxNNlCOcohCl1IlZXnmWHiE/yB4ADWYPzDSfUcbVnEESyyBZ
XntrxLflmgY7pvnnASGrTg2SqSiyS8kyE6y0mJ3GTrJGSX2zoeme3ho4iTbfptlqEqQ0toD3xzcy
6V6PTRWIn7f0CWTv8WMEPeAFjdIaJnJwhW72d2QSlYYKIsHSHX0EqGvXB8d0dQBAfn8ikP5A9Uu7
J0un51B9Gr8FSdzvKQDXgiB3O9a8mgJ4Ira6C160dzRIXzJkYyH6nkR39AWL0g5lH/+c3uZVtYpc
E/TNRertY7wHgN319p1f54+OmRSPOfZJlkzlNawtfMcd0146ZtTuaBAI6XFngShhSRM+puN5lYPE
dWBrzy2Ti2U9EGjCxEtoBUjvCPYd8N2nNZLKjZDxN9DgfnU59H1ANOLv8whqjCzLjC+YSOM0cag0
b+UkAM0UK01PzL2jIPiGVg87pMUNBb1o75AXdhZB1WQbD6wFAjJIrzyNLbCdZshgZEpJSkm5KDuQ
teYn+z/9kTM8m34T8T1KlyUgrCmQCiry90cMsGJxtbRiJDTmgU/BwoYigUyAVbOI8Qzv+xJcGiK4
g4pXcOcayLJge+xve8jY3oEjADF/F6VfwvNP5GEGiXGT/Os4OE6yzPzIVfThPwMm3GTpKHbgRi1J
vrQGLenUDTT71B3q3kTwlkO9O+hR9KZOdnguuZDxC7s9dRtTX0VghX2KcfLAtuXfbvSq6B0oaPt5
91e3Wq1GQOYPN3WOmVYjO91U43Y735RW4z0YlftUADgBYbJtN6bpEbpg2TE3NHs7AIVwjUQJGHtp
eA88QOi6Np3yzYyjtzgS1c86gd5dymS0sCQg0E1U/uR+/TZoUfGW10UCaZyUPQwmfsyVFmVXCFS8
36U25Oe7uHacrJEHa0B//KW29HfWGChNiyMwW8QR88kMbciJVuZvNpqkKDi80IDEhu+tM8TeHiAS
Ux4cpGwgzOPYD2QL29dO2P29MPA68B3IDjcjuLBmf0hfAdLY6tilNkZzNzUvfTdCtLS0b84g3YOl
NqsusBsbIx0SpLGxY0WyXQLt+k/jJB5PRkt5Jmv7IFvP+1Gm+kkHy8l8wVxjsvi/L/7hUyb+8Bx3
9RfaI9NumTbKQw+x+TbQ92QXvneNLA/Yh2x84yFkB+bwLoWBld02IXZuu+GGKg8G8VyFUKqAVISx
ipFnhORcMl6soNWX5OD4z2lX28uoQLF604bZsh31cDPGjn3RgLidGsM3o5Pf2us+DxDeogFyEZBb
Whb4kW3I1qP+b6U7cQhhOt5eewG6kM5J5aYsWvz71aWGAGQ7HLBpHF7BnssgUeloB666prmpfcle
KpDXHB0P6n2REr038pEteQsK/5FpBZiwqp/VYGlf1IWXVu8XBvhx0xaCII6B7GJhZMZz7XXdKuKt
fRUGtAXSJs4PSBiA0SEY/XVlQhUhMYJimVUg3wmVPF2hrrgHtDeAPOjrBpJ+idSN9X/2IUdqkgRs
J5Hynhejqyj/WhSdj+OWdaIjZ19G483UxhPJkKWJOdzUGJ0waawx8W1Rh9OPsf82D3woYLmX9pcG
sgwLEB9FD5EVeJvBA8ZGgMbwbCZ+vOZ1azyXGv+alxJq5jF48LCr+w66Z2sh1STN/D0J4Ft5RkFP
AmZNTX8epZwmQVZ1mtSUCGgBbqIFfXqMa0dbZqNIlog5pccwkCBpp5EuSIb3SxoaUx0BFCcfD5ZE
Aq1QZZWlhkLw2IDwOrTA4pMfgEFDy9vmXrOTallWbfRlyMWVOaj1WvTia9963U+UTP2KPMd7ZpkF
HmZP2teU6Sl0n9rogH/Z6pwOlrlubY89mEn7EgfhdlT5I2pEOfjA1kSoG6d+ZiFdnDryYFAG6pPP
x3DkRcOBep0Oxflu8MctQYJKCZ3yvkFEb0IIKfgQKFn+bmtdMFCQKDU5k5/8mEuoI1qP/P7jek6D
PbqXdifwb6A8RWfaao6w9Lb+CJZ0YG5UkKawAQosHRdUZQodrRqaFEDbaT3bxsS/GNqXGsfuQ+z5
FU7Juibxbxiupq4UuXsdRJ6gcjf2ES4AcVKsGhoAk12wsJwi2n7yxm551QxZf56dHaaIvdPq4ZMb
hNzjtXTyBlzgLyCI8c9tWTnWokM8YO9bwUtlmsFlaHFuWQF+v3EtMJBNLqi5GhdJHGh4ugz5Cngi
iBrMzydpZhXIrNf0YOrIbg/cvhRZl6+EcqaRIEMGbqG3AAgm7eT8x8OPVs9NywDZIsrSFduhq+gR
Q7NAXSZd6kR8OA+RURiJDVQfsBlqCmngffKLeqOMVuToxAbKg6yKWXvTFpNtWsEaql0DmTY7WuRV
DrkJw7BvcTrWOyfusn1hOcN1hBAkNOKS+k1C7pFpofbTE/XOLU32pWO5XNKk3E3qncgMMI/4fLha
WHKalOvumZ4IdtHtECNyp0kBcG03PxnWJhT6FrmqVHBVpQI1layXCFr5Z8sWBnA16mgPro0I9Fco
PQAh47sfTk1gLmmrGnhzhHwWH5P1MhZb6KNB3hjpnCsww/Kap6I+my4U6lszdyG+AwoUPW6GQ+nr
d9RzlYmuwFuS7biryhPUVFqEBgotTDd6BfgdC5rifRU/y7qVyRFJjQ0viNeFjYOmTE0QEs63Qm4J
nwYImh2tJodkFyRJe2lBqrD2PBGv6RdVqp+VHhcPUHIzT9RrAr87FzUH7x/GqPFrXaxdIC7WSem/
21C5eheUmjf9FlFVW5yr0bqSP/0UQR7frsNI1Ot5IRG0NwuyxWdaB8Fh0G8MLEGQCZQqleK/MtL4
VysSdnN6iHe3AVjryd66DlsajWEem7CQT2YSbbvBM94yYUDJumiGLbmlSKFnBg72zdibh/+07Ghq
1cIVoOGiZfNAFAeLYIGNxq0dqgaDde6M3YZYyKibILb+qRupLlGW6U0drOfRQCAooRe/QrwWnnpo
Ch3aFH8lde0I0fLS9VCIoEYTR3FERhVwiaqrJ8Aetoqmn7pIGcTntOrSqRsOQj+HlfZzWgkZj0sS
Fl+pF7aOc+k7/ZmN4/jUFW131aAjRmORYUW3JvMvNCaBXLw1gwXOANwRjBr1HTZYuwAEK0+xNmrA
FA0bGst707h3QRhI87jDm4ehi5c0Vo1h/Ojmvyp887YiAdadB0X/IPIiBS1X1h9dRe4E2LC1S0y7
gpYO+KImF1TT1Jbj3FEvKTITGMDY2FC3N4DhLlL/Qj2aVGCDvkCAoD9Sl5ZkHr9jafI4KNqTrG/S
e01FbYsqsrfYYPSQu4mqvUTt/oVckJSJLtCg2M8TurzVtygEAIJCLUINz+N2WiTM635vAbq8AMOE
j1R25S6S2geaubJtbWFqTgSRrdZf2XwMblVWBjdUS2a7GPJGC518ahNldkXFLzRKDTkPh8IP3dvk
lDZ4uDT4Dkzrpj6YknQnDXfzpPlehbqNkYDC1k8LZ4WCK2BI/FA3jw7+cT72ArmIgdam/qe3v4yH
bM0ZguBVp28TnvU7F9VCD2Hk/IiSMf9e6D4yB6x8ykGX9jeHtGFP/lBWkwNevP2uGnDoUitkOCzd
M/DILGIXmvaFEVZnlmnWi9luxiCPX6pa1hcZh8BpKzMvRLRNARzfIBllvcyT3rvYrSeIZI1jeZze
jNL08RuJoxLlfZBH+tTwAIC3qB+g8ouBRr1b6Qoy7+yCA09sSX9FFt80sc9Jy3IbZAXU8Bzbh6xr
1q6d1kye2hxbwbgLux8lYlWaadu/WqSxKjYkb06HoEYGfDZO2hzHQ2y/D0bVoNhOTQ8gdjNNHz29
eULKo18nGXb7jcJCuAof0TY2XpeMX6jHdLApjF3aLo3BAL5DjXJPvI+GIcrla6cEYkpN/Zjve7LY
6D4YTGNQWCMWgEL4XtWoZBZoVfADeUDe3gNXFM4CPTP1L1w80ngAbreVafnjkSZmamJHxS2jfKyz
eDgwVVZRd15xcdQVdUM3wO806E/GCK1tsHCAn7EuxYncyGPUwnLbcZDF7gE+4kvPyWtkPAdtqg0I
sqRcxIYubkbvVRdgXzSgWZE6dUVV4vtZKXHS3zOsMPXvQAgIDvPM/s5arz3Sy4k3sX+BDNq2i/Cm
XzZm2G/ApNes5q2emuCKrDuSSYCmb6N7FkDSCI+2iSu/BFm1B/GO9tNwjBOES8e3FswCS4Z6/yt4
s7Sdw/V+h/JSoDbVJOagbjHR6/0oo/I6BnaxSIciOmeqKjWNAY8WkASaeh92p3WKdpWL/FBY4FKc
SWYAC4Wuj8YZ2FX14kADGb5e6zKzkeM3Ayi5cn0412BIe+G/KmHwl9CUIThywYrm17710oL/a5MY
Qm7ICayt73NMt7ZfjO92mO1EXcR3vLaiBzO3AIzPdNBXNUn8kLVlc8IT540GxyiqzqCoPhfSzU7W
kGYrKONCYFF1fY434IIuqQm0BI8wNTLIFCMMwp1KqMddk7F3vgESl93ZA6svGfCji6739deokdqq
rM1iT90UGQuoY4qn1FBHMOBsFxGYYV6DpJbAVujenkVeckTVqbvEdmjB07Z9HvMwOuva4INAFzAA
CMl2K630wkOpusqtVW56WEdnxCuhiRY2SIYBhbUClU10oO6Hm6FWA1gM3GgEKhibb6jsAMNWVX71
XcTUVcQ80RsBpBX3LtIvyhMq4tzVhwdSEigBSIRYusoj6EApTx7QJCq/hvX7GuShQXEOXETgSMYD
Sb/vkExbjzVqQGRZG/copTfus9bfNIhSXskjjxMLiANfLhCdAs8uS9xxgafNsCdn20JNdjs0wFxh
Ks1o1JoIRzZruxRjvqxcbSN7582EptY+BR3TolPMMM4YVEfqQqTGenJ4+94N5RBvYpQqr2Tduruq
gGAYndVd/NW7thTxig7yNEpdOq3PznYngiOCOsmCslqd3YEqOCn6Tdx4GkDKOT+0tuUddaC2puxY
GoCSSyLDShPITqmzZpDxdgAGaFppnvDnmogUQZVwlUbY9pgZgG5R3qc3P8UbTY7srg4KmIAhOErT
+zKb+sSFJIKdi2XYZTxZsihvV4nWpZupX4Wj4iyPrf3UNwK8fOuyuNASZe6mt0FynA/VZODtpvUz
lNiCpE4esviYhyI9Ybfz3oxeArDPn/2orPpj3hzJTjO6wLdAo6oT1Yx1YQpsPvYBBIMZaimtQDMX
ZHPUAP77y2UBUNR6pgGhK4TRkUYF0i6K84fRGZxH2QImM8RX3mrOI1ksbdyDPoLfWmXqLb1eJBVn
R/IokJFYNS2U0BqtcbGjQqlkW4NDiqZGkJI9oBjLX1AXJbHG5X/ciVk1v8WAuDTIwvs8c1ApPdb5
sVNNLC30+RDlwAyN+ZGuaLi0uQQ5sSXB2/gxJyR3GifPaqzA5/PnJY1rTV+vIaUVb+0sTFfWANak
fa6qwyp8T1Zmo4szBwD/7GRZusp00zpKt/zZBik/GYK/N2Fi8xPZXA/8eo6dHWlwVB4cbA2Io324
0IhEBR0oncGrlmt3c5pq7Fl01If6rf2oLLeRZiATpamo0TpQVCov6pErTRyjbpo4ZbR+rzUv/8+1
yP5xx3kt8/cdaWWzKKwjarHx+MTDqE5ReUsIXu+ji+OO+ZR0eKzMo9hOfO7SKBLiUWY2Z9vRxFma
bbDHq+3QmQkQO2SbLj0AVPaJYRzIRk3hVqhnVg3KDEBS+hJ1OEGAt6tlw5MG+L2XaC9VV5ffCst7
8fBF+AYq6OkCeNLp4h9DeiDZM6QyDmq4UDP/xxL/330gAYYqL/B3rx3uOKdauvaCiB7yKIs2DXRq
J3YIi0HZpap059LhT342vcd4NK2Xv00KPLOZ2CH+PUkmlfUSWnZ8EgWKL3muyRs1XcwyaGUuZ8uI
QNzNjdWGPI2U6Kuu2CyLytgaMc6orjCGT1MzvtSCugymJXsDXB26VEEJdQcV07vVQWRs0wBEsGSz
kaFcNB0rQA1aVOseNfX7gLXZ86CN26I2AWpVdt1K/dkuwvLdzsDYtq+Br3t2SpwhP+yz/z/tZY36
NcpeTYkvlb0C5SU0mYcpWVaDtvbE/eZxzp9lvVlve8eTyzl/JpDCRBQ29jZzUozb4VsW2vJIpske
LcsAFWWUcxu1ID1FVvU435rjgbOt62hYzss0Qf95aRoYjGxamhbSQeV84665HA1UCLbuiMBgBkjK
Jatcd6k1bY46ABlcphE8oYY96lqecmUjv8YMoKAIBMmWVpjm0gIfqwiw+6CgSS360WB7Oq00m+Y1
6zjd4n3DjjQIHNh94mT81KOMfyVzhh232shMOw+8+KrBRmpWmTzwTO/KbABVl+rSdsUpQuTaRJAe
yeZ6IDgAKPxKg5ObWtdFKnwz2wrz17ysNnifl6VJvoZgViLaFOcobINo2R6M1jRITfexbNDiqDBU
2FXJTnP2VYedHe1nvBA4COrSfoa6rtcLFCIhNTF3aRS1bPi9pCcvxKmnRwXxNpDjV7/DkShken8C
oTj2eNRnykhX1MRBAYnYtNnS1AAs63htqCnUn1cIShD8W31z/4d9WvnTTYbMjxfMK8QGIY5+L1n4
YNq9/oVBiNUPnPh7zpN+2cjEu0DwtzuBxgPlhEPpfzXqMzk4UCVelgyc8rWsqnMBHZEVDbhbCxpT
36DsXK/cWsRnPwrzSzQCe4DUVvzdNR/7yhi/WihKX0HHtlDb5mCLFDFiDy2EO/HOHb7kut0u4tQK
b0Xh2hcawBEAtRVqQEOJ3TRQaeBfDkzUUcj6wIwI1IqOgkDJVtyTTXQOUHZDP9zXiAxurFAT1yCL
zKvR6Het2tQmSCVRT3RatNHAmA9FYIg8hoyZB0RV9lTUMhe6UBfqzs4B5OfTIPmTnZoBqaWDE7u7
P+1qWbBDa4fS6Haf/JWdbpCOWnREQc40+Md0VO8if6yL6ePN9TbkBkhkcRyrbDsvawJTf048say1
Vp5dFwkdCUz+tQ/wukahWXzfpj5gvyUUG2TjF0vDNqoX1jYo4xNN9sXzgAIQovjupyBPKlz+i9vF
Kk1zBv3QeySDEpxSsnZZ+VbwC6kzwLiz9JuMf6BGr36yOR/WER6Np1ovyqOB7Opm9GxsKkE+sAhz
r/tumeFSG7P8Fzi4n7kz2C++JhHcR+T94mq6vi9tlO4znMnuksLrl6LTjS+D3e+Fa2S/dDYe+ODX
XwDahEAX2A8ZbxeR6McH3SySbWDX6aFmbXq1vShcGX4vvgBJvx2qNPupD9Erz5LhuRdywOnTKE6+
we0TftnlmvWsfGEc4UDlanXjPmZedKyb2FlWYcJBge20x9gzxoeuNR7A0+F8gUYz1JwCuztBP6y6
B03bN7Ljj0FUpq/FuQBt3V3TRgBSx95K81FcBwLM8KLlRXyujQiHfcvqvzXO2k3i4jvANZDJUg5m
6w5b1FBG68RMixuKX4pbGaDACwGHCvF6J78Z0F7zFlWOTzxmVzKhhktDZlr4VrSQWrkLtS7ZCAX6
wH+1dmd6WbxA2FgcLPXemwYCVAuMQXmjXuQG5Tk3o/M8KSvx1h+iGCSeHwsVSBiv8GNKNhpBRLCh
fl+YfFhktIvca74T2duo+DirlA/HLl8UjqJ8m4jfppZ8qPnUr2Q4HltgXbnhHSBhs3BcsHiUmXWZ
MAsjpDEQHEg2hHEIC7M9o0DjmQbJ5EbG2bT6d/8WCHekyULnqDWesyQ6CrtsXsvYNu5NBM1Of7H3
dfHZnpjdq5O17/41AEBLYq/A9+bVDxLzXoaoppoiWUXQt+/8rkiCnJgLblDCJFCpWg7+ha7pwD0R
2Df8w5RPPSSZdh1KuDfdYBmvIx68IWfRN7zCQJ/Sptpp4M54hUq1B6IMFCSrmcjplk9SzWxLBIZC
t5pmkoMToAiMZlpAVFx5AtFx9nsm3VNngCjSTCfy9NcW4CNywE4PtRfhOg8b+x4I8WSD/wz/JNIY
fMMQr95ZrVUhLxBZUAvnOvSoLdCrWmb6HdJFm6FiY4iaxGgNji7je2KjshCI2eTZGXWx8k1hXksR
att+7LuDW3fDCXl2iI+zsr6v8ZhHeV5fvGEb8RikAPcuovuRN2AMq1ilVEXst1bTi+XfPtvIrX99
trDSP322WNMgsqtqv6h0K5JtvmytqDtMxVmqC9R8d6Cyr9bU7lFH0u4rkaZigcgqKOQoXOc1rF5b
MRgDJqOLtO3ak5G2QBq7wKm1YxsJMbNlJAP8q5OxLWO8o0PnNCoVL6maguts04YQO2eV3FqSFQcN
kJCzcLk80xU1PCnBUBa47moeqOvgW9zqwSJvmNxYSWjtPVZF996gStrUoRXIkxNKPKsX8hhsy0R+
03pC9Y9YQo89PEg8Sqw5rf8pxj9dktMIJ0oBsCR2NkJGOPaDjW5AcNdhHmpQgmxdK1hxa7XdwuiA
DOwBC3p0HUCk7XR8JbdAB82pU1WIwPU4a8Rx11065daHqOVT0//mJvHL3xaAIkLGivGnJs+3KOVG
Xg+/vI3pROM2V12RVcsEuiEvaVHrh9R0ITuujfqb7sifQ+J7NySa5RVs2qhYV/6W4bvLljNkrtSy
OS+25D8k7H3ZEnHj3Zijsh3U2mDY3XjAjC2RXYz3dLSlbqUnyX46+KpRVGzEn7qIZcb7pNaRia5R
XeoRcDWMnX5hGL2z9gtfPzmEdsVLonc3KM+4vd8R6jTHsEOcJhvN7oQiE9BL5CCqPkGgMzA3YYWi
8pJJsaFxajQWf03cytzKwuSoYUETF2F/Ltu6RCl/5oBBxnPlgoxx2b77WC7ny6ptkf1V3jTAWSjB
fwmlhbRC8hZa6/zMRQAwIfSlll0JiUaRAs2P1D0usfPqNmB86xYeQpNyQcZGjdCVB6TMvqzZdbZX
hgnqj2mUWyujAtBQYmfg4DV+bOmHhp9QdO5SG785uoy8h8rKEiicIW5ODXJUmUBI93e/A79QAV5/
snyaSf0xjQ1oli9prXkOhIQQileNmTNrbcvMzS6gB+s2OrjAL5URWGedPxkK7kUNmelqjIS1dJOh
WMfYqTCcQQLvNIb5klxSsg1+0UC/J7LX8wpNrD/hdBKBps/jxUKDKtnBVw1dhanTFWBScGHEec5f
k7UbGxvwXeXlMBtK5+2wIx8y2U75ezYtOffJh7plmTv2ch5xDVauDBeCko1AwkgU8XuTIBrZoF4e
/Ux6NQiHwp+TLaMRcncaVm76XPtFEchPQco0jqHyE4E8vQOa/YSz4+do5h/BTZrsOeGTFmvPQEFb
Z1MDP6CwogFK8UNyroesAPcS1+5QhGYu6y4yEePJwgUYI4sfMkzXACkWwH7EEK5xgugnT+pvZeh2
r82AvL3mRvo9NjweuCdbHf+PZbrHS6sHC06Dan6Wrl28XPF7cAr8WyRiOE2XmsW1g9FgT1WkNSqJ
1Ag1rgAyawAtnsRpsItNFO2BDuMNwMs7iHU2D95Y+ScUCzZLsmsc5ItlE9XXNLDGm+9I7F/UhAhc
AcgYlc7RRn3xo1dCTlfoxVNYjs1CgpHvRM0gtPykq2a2UZcL3i6dzNyUIwDhomjPrRuWTz5QsPet
Fyx1s4mAa1k1bpE9ObIrnxB5Bbyx4vfkGJbZBSgp70q9Jml+yKIepkWgVwda1SzC71CtWaoDLR5E
Yk/dbHTGFbBA9pa6nVchPYgA94a6Qxy0OI013spSNwVXaLxHdsNa0igy8dqhLkFvQaOe28fnrsMO
lUZ1aTZXhAzuaBBb13hROYO+yzXNGsG2nDYoyGgOHTYHCCXlaXDGdys405UmqlfwZYudaZTOuDDr
oEcAfgATvJHjYJhDmVldURNCFeAQxGjm7t/85mk0g1xo2tz9f19qvuUfS/3xCeZ7/OFHA6wVfN8b
D0EEkWUNKiHlgi7nBsQfzqq0KrmAUEJ2nAdYDEr6usx/T6H+POypFecuXf15g6xDRtJgYDn878tE
9ccHo7vQJ5mM813J6Da1XS5c27gbeYyzm/oQ8xTqTi50SVOqKnmB8ma916y4vHWQhnSQCjoVirGT
mmpwgALRgmo5mNa7TdBVkm40iBqdB/ULADaat5uGp6iV+JhLM8oEaDnJzPNsH3XUbo8ZnkR013lg
AL2OcEV6KbwIO3Me9e46rWJ/Od3xY2FEqVC4DQ5vQffOeIFTcm0kq2kpmhzxt4yJ6DotlXGjWkex
Vk8uvuZfLJAQbcEwwQ8u1/lhumJZ/371Fxu5SM9mGX7YmEdN8XE121y1zLwqDcy2Giyhy8TGLx70
bv591TNwU0VgUqdu4KT+PTchoS1S8xopjxryaruoc/olDda259+XiLfktdDP0yTBoRSIIh5EvgAR
LXhbXD3LuoAmpf5Rjc5Fc/Xqh83ZJWK4KGDxgqQ9sTgDN5OvB3vWyCcCpBMMPVRYdEQCJvtsIg+y
5/V4RZX5Qh9wIMic5AYCPfsuiRN2wQNpTT1qtBFszpnV/eiHMEWmrwMir/Lrdum5AVgMWB4em8xW
5/nafes+rtLEeLfRVZ/Z7lsUDdlCL3P2No2GW93wH1LO0zvHcdI78F67p7Ybj2SCOER61wGIfw3w
LINqngyX5Nb3dxHImG7kRU3XtLvUKsWZejJO0rumKF9KVoBJQ61MJtmCs8LVzHA/2/rSapZeoqdb
cqGBjOcouihRxEM2WjOqIScadna6mu8aMm5tUwkG6nm90MrMPTMk8FqGhw+clKN3tN3ujqbRnwRc
RA2l0urT6kYNGt5k+gjzn5DiRCnA/nWZTUXQ3KTPotP8yTgL4oUBmkTUpOIfjHxbtwkWmuayT39V
bQaAkZqgqyIXavwRHCCt0RrTX0WLst6H6F6e8+V8W70rvJ1WA7c+/6V902sH3ROv8z8cAqTg/efZ
fv50snD8axm+0VrT/6EvKxV1Ha5Td6zsAxg2hCqmEXtmQiRBK3P5NWm7RzPL08cEko0HputA6Co7
9OwsrewuI/bhAH967aYDldHeyyv7iYPojpx01zSWnas359hytJXmlPmCQ4DvoZfGs+iG4ixUz638
cQOsCJiTa994aFzZ3DyQXnVeajyQqTdA7RXmYXwkm+zDapfHpb6cJjhm+CCNTcC5ASZOQPSwr+6T
PS0OTtz0gKiIsaAuTfDxZdFcQ96RqR8RSsxk32xpcVSb5KfEKn7SIH1cLTaOSOGG1+nunSWANovd
NS3msVRcdLu6kD81fpJ8LVNmnKgnsT3cBszsQSeCP2jUZHgHpMqKBslUQiJzYTeBPFA3HStrx2IE
68iFPoJAZZw+PpBBY9B48etR39EHAK2Hfgi5xFESZyoRv+ix1d+NNuO3ahQ/AuH7r5B2H9ZQBBx2
oUQ34toKpFvAaCa+f6qaHAp8qKB+BU+h/X+EfVeTpEjW5V8Zm+fF1gEHnLX99iG0zoyUlfWCZSmU
42j56/f4JbszS0xPWxsWLqHICMe59whI4mbNsehiQNes61zdwYGvLUvohSBGs3x744aE2m7G6b1j
81OkPo6dKhYfgHp2UsNM3LTvDFx2EQbPlL8OmfrS1m3+UCDJtmtrWPwgSus/6A6U2sYe8AuvPxsI
cn5JHAAg057/SG1508jRemmTZoQfqKWurh13W1FawyEo3RRxipRBNZAPD+kIZ1wFg86vejg8SvmP
GMO9DMFgfEWDTWBLfDUkAyVB88hjYUDZwkxBPpPR8ASPCmg5o/69W6/Z59L3kEZEQG3u5oJ7T93A
jnibbdTd3meLk68BCR3A8niEzDfoHcYiG79lXgR0qW89w3a4BCjRzHb10KRPZcdPXmFGX8DnkcsC
8OhL61nsnJsjUmv2GH/5e2QvYUZBI3M3BGzbttnKSBIkiEIln+iTCt10/tT/oe5P/UJmMqybhfyQ
ZzNcezxCGWz3Ias359ic8d5wJndP6bW51UOWbO0YJWgmf+foqDPNIst6R/VDIhdqQmL3UnRFsXUh
P/BsZcWsZ+VKYa5TW1R7oJBgzivzWc8Ke2nUJw0EtC3feNL9BeJkYKkBpuCMOXSUraK31ho7v4xc
HzrYZZT+h3K/TNpFELfB0U9hOwKoTJpfsslBwsXsV9SAPGF+ieEhaK+SaVgBQxUc37sFoxNtxlB6
y4GDzdkDqHFss657iHpLraFSNmzm4gQhNu5WuCTL6x7a3pwg4CpP1EiH3oNgGEhdVyrRbENqvs3G
zf5tttA2wk3XqgYRL2GlC9LMgv3QqRdmdaFSzWS9S/ysWlKRDgjyQpgzrC+89AHY1D1qCIgtubYS
obo/zDH30AN+nuNPZ7FLeL8WHbQno5EX90ZqHkmbIYA76S4F12o96B8FPPpiHYvub0qYdt/zfjoy
mL+usTh6x6gOo2UjJn6q09x+YpBLn2XrWpUfoEJZrEKg5j5Rt0CW/GSycCusvAOp3v1Cv5i6hnFF
iZjFtWGsOTZhJ1YsTOMvbXbOS9v/3KWQXZ2aKT6wTKp7PZDaqzSHh44FuJAdp+4+lZjHrS33W4iA
TxQ1/RdkS/tlx/3oNhWmCTPXCSqjdj7BRDl96+vAkaWFHaNamUiedlDohfYHZ6uBPtl4Ve1VKxAu
wKe5VX+yo1enGeDiLkAT0geIYrbhtgagd+s0HEnZFitRg20E9P29aetjnbmWHlLrWi9t/mNEzbiq
XQRd6W8poy65wllOe3DdOj5zPkto7cJMsf9sTQNbtmnSw0sv7HeN2xk7hkznTQ9K+BJ5uemlHIYT
aWj7Cuqdcd5/ZqWEHST4F0afZA8K1HtQt/EprArYhmJJfjCS9q3uvZU+Kcbqda8qKANxLJSgaGQH
uuTAlfLkltXrfMX6n+IWEPuiHlnU7uBYkDz6WXHKc8N/SCD4dMCKon+F/fhZ10uGp4UVRfzgepBK
+bl+QiJjkZt1ucPyN5yx4R/Ok+P28Ifm+Ta1inhRsgEmBNTiRfG0aEon2ub9CF8zAz4IwtdBLV18
r/NSOe6AbauunT7UENZH9gJ1VKSG97q89upNGVjdklBuhHfDO/DV426wJ3zbe73hJdOWATu8kCTT
+u5s5dvVFbm1eq1arB6hYVo3KnWMdaw/he749onq/tQKYCnkc4CV3Cb49hwEUgebevKKx6pS32xE
Gb/FZb1BIK7/bGZBugJ+ary0QiCyZ+b1RknPXVpqMhaByMyTIEUEChRT2UFEDvuc8EBVdPB0FJk+
IU0BL9dighEtwKubxGvBVtaEOwJxUR0EAOB/Y7tnBHLyi6+XX9VaL9bUsF3CHSzJhTGke84MPCXK
FB7oXR1ymOmYybcAvwphuc5r4UfJynSc7OKnTByjKa/XQ6tacL3BF4eb5zdeZz/GvGseRBQ32yDI
s32YOXBK05NRj8mG43pcO68I7SerwJvUymNi3EFCkDDqdPCVKteB51hrKvYg7925bx247WzdLANc
fGzuJxWA2p/G2R45DRAM4fBwhTPIW13pnY0g2avIXf/JsyKw8ajVjZNOxXsqYitAFnvjHtE13IU+
DosVcf9TpK52yPVaeITB5QlCitU1QjBmrqMiNQDd3uzspeFBAKHjnfUIGnh34FahtakFwocVrCHe
iy4EFHFf7XNih0BIC9dfplphHFatT25dhfee08hTN6bBkhS93b/q29yWp9zW9kyIwK+h5SthSlgs
8LM1v0BvowXm35K3XuuO0HrBH0I6cXfPRAXBIb3UjtFb3y6CorFttdFdZEK8ug2QyMK74fSZMzjz
DO34DLuYt3oCYkAjc66n/pNKgnVoTOAYNE26430cbZDkQF5PTFgXkSuHug1IIamUOzPNmk/UI2pi
vk1gzrfAZitbztLzjcGG7R/LJDyPfBlYMo7wd5YLabjIreF+Rre0rT4WqRUR/35P97+M+99afxn7
3rnTU5XCaLdTOB36EUlXWKGXxwERgI2qTPteARIGm2M1fcuDm2Log+/2VP6wHSEeW2nizTIcghNQ
4NU8ps0KY61GMJXo98ZGXm0TI8oRe9J7oFZveHp9kP5kLxl7fedMv/OqC4hJ7LMS5j4czOvezWoY
FI/tGxP7vR88GbA377JHzmqG72lfQZsmszfSAbg4TsviDBK8WgP2VD5VnvmVqI2G+xXLVvrtfQyL
p2hlBM5L6+KPSaw1IIzLzXvRr4dyA3vkaCO9MDw5I6hXzvBM6Pc872BNFwXjRXDRn6wWLzJxGZiv
dTp3sId7NpgLZAtKIETwk8ixw0RYmBcnsqHJdNHRRWq1O3A7qRXvitYjtf5pbOpGyFxkCgKqhrpg
m4B9JQxorXIQx7Jl2Grq+r5yIRgwNi9lK3L7R5t64g5+tCso3IbZNQo1gaGNT1DqdvhXBQ7xCrIa
/MYo4Po3Gl76GMq8WsNJajqD8iUPbpG626nI7Vs7KZxl57jRS2epu0zm/AeI/cA3+u23qPxruBe1
gG90qQUhfzwroI/gIxTjZyen6QKgB4Yn+vlTvcWVu/WKanYf8kcruwW3+6gUjJHeDYmyImq2ThtB
DHeCIdF7g1lwGH4Yt1CwgRJVAdQ+giuL0on7IxWbMX8rEvUQT4ePrePPRWpNGOhh/3FsPgGjU6ps
BWnbk1N7au/rDRbQiHBkE2UWnalMB90lyCe1T1IvPpnYfJKeQdL23wMnj27dfuB3bEovJIZgq97e
AjaabKjXmE3fwdILb7G3nXtRtTXa6DVI9NI717/ngn7F3EvVhbtpRW2vEaEEQHio2HNsQxsOv+vg
qqIaetxY/M/gyCAHFXQRgi69fZ4AFYc5Ym3fNXndLHNTDZ8S337tfC/9bpUNhus8lCNLvCqx9Jvr
w2h1CB0GQ7YQv+mwhjZKPyJN0pnxOTCNV2kEfN5QdqmZnfIkeqVtGr0gCLBcF8Lu0gNt1nyO7yDI
8MWa1LxI16sdAnk2KjwqtPIX1TdDC2qHrue9WL53pXrYdEo8GPxyAcHeaQvSTPbswV5cmSL6kgWg
QXvQYrskMuovAgRqQA2a6EsCawCHQXvD8uJg+/PI1IynW5XZzwo7mzMkmNQZu151xhtIsnMG40nY
cXy0k3gTWll5L2XS3bqpB0BLD2fQATGXZRUwtqNWo3OaUxiKz3MrG91vNcgfR2yO8NbicgOWl4iQ
UV86QLhu4/TKuKFSXPru6t//+t//7/9+Hf5P+D2/BYw0zNW/VJvd5rFq6v/5t8v+/a9irt5/+59/
c1/YwnE4NCwcH+ojrivQ/vX1Dklw9Db/V9RAbwxuRNY9r/P6vrFWMCDIviUqCMFNC0uEbn2+s32t
qgAm/V2TjqDhtq33DalzpM/V185Yze+xYR+lRzBWtintsHrH6XaAmjny4k5RthWkKwe7VL6IxjLe
zi6Dadz8VAaP+BIBCPO+zUhSJ1khG5PBIATKRHQI0+BjHXUuM7li+I4fYE8M9Kw+OCobzrY+DElT
bXIselBk+qtVVu0niOlnO6dj2LE7mVsBjyS6uQuNpc40AdwU2OKfbz23fr/1rstdfLMcBzlol/98
6yGPlxt97bn3TR+POySBQ6CmzGmdcaN8qVIkTfR2op/Agy4Fr26phwvOE6jaDDCxP/eqVGAcskh8
mKdnWmbDHlqYFRsHx6mjFxlX1iqx0/7swRLzWBbQyRiRm3qaIPqM2+t+012hPw2Mt+7KAjiNhHI8
0c/MrMabNkrsA+cW1lxQGrz/8r307V9vDmeI+uLucEBDXMd1fr45vUhLAei8up836W7hgJef8ydk
KPIrHGW7K6j6j7QcxrUyNrTkUVH3AlxLXccCXsVW5L8iBtyuXSdTUE3DwhSpGmYNjtN8strq7Ok9
Ih6Kdyph+bNjFLAMKnp0HXN+rL3byMirWwDtN0jYO/e5VtMvoW0LuYM0OFIdJMPSbVNA/5FaaUAV
DxtH6/IjagbX2irm4O3Z2RLBqWQ/eQqq/YEC5XEIoJlh92m1rAOwCKPmHt71zv0vfbl5W7vWXsC5
45etPTnMWa3jH3Qj2c9NXQh2Uo+gB7a/7GTy+HvV+9lDow+IFBaVk0AADIUsdrtFB+rhIfML9WC1
ZrUxzClfUyuN7ns5j84h3nszxxt5YbG1xZv0g7h813h6VTabDTWUFov+yzeC+z99IxzGhIn/HThm
e6Ahe7b+OX1YqbCyWCOkZMJ7B48o2Mex4dKbkFcmnmFcPpl+bb3SJowb3XAKnWC4GJGPLZpRwQoy
Sc/kKju7xJJ57GwPSx8rvyiKRaPd3mKAAOG9UyYwl0nLIw2iBir+x7p5spClwbauBVA2oy3kzusn
88i4MI/0iQ+pXS5UPAJthUQR23GR7N+bf+szV/Cq3f6XtefnZV/fTAhAuZy5wrcgROe7P9/MNKqY
KTMW3HlDPSIVm/kLE/yFWys2fIC+M3PdSV+95MxZ016XelRVBJZez3so3EJ4FmnEQoB73BW7GnkG
vc5WenX9cADJ6Ny18HJDB6qGxweCTmaEcFo4qWWVmpB3tVh2Nf00XlCwhRpYZrw1IDsTI0oAWXeD
t2qZFAW0bAJfXl3gXP75rvjeb18xm3vM8UwLkruM27/cFeyoeKga6d4x2OWebW2YAWmTFBA27XJL
mqihmySrobjG7iRXH6SXcxgakFwy1UE/D8RYASl5klYOvBE4uMFtVnWVGNDizuolQQFzB/IcsEIO
j45GDCbh1msL7/m9V+0CneYxWDf2OjRUBAlEMWIj3FGx1XW9AEMpGu3f6qhfoUNNc2fdj+rGWmCr
zY2XSst7L7xw4vdYhuErYoUJlLrcck8tcQmPraCCDRe1fujt87qGQS73T1Fr6a/A+Blfp2KTWPW0
Uw6AKrqe5YOLNQJBRaim4I0fgv0CYHxHLLraH+4tTSApQERG6hZvSrqk2/oRDkqyQVgOFmFRqCDv
3JvBHubexaVtYsjMT01wFJn3Saq2uaOqHI+ulUQOY0NFajAlKFTMfP3n74jl/PbT8eG34ZswF/Ad
jrdw3f5hHRp9hsfdaJd3UWTqqLN6Tuoq/qJ6gA6DwWW3yPzEgOcBAAx9vehLAUUM5PeDlwJppQ18
U6GS4bnxw88j/apjeIEZT35mxOC4QovF7ZMKMSnI1VJRxNM6Ktrpvos8qIqEahNrR7wiN/IzZGIB
NdVFvGE0O+FplRtdzCqIj5bCGXZUBNHobUoqwgp5HQNqthY2vuXECIoDq17Hk9t8oF6DLY6dUVXN
xCEEqqa95KC6zdRrJ4OQBJzAzJl6Dbe5/CawnQ/U6yIc6nXbZ+18CjrPCGIOcN9W6r1YltdeXcsP
b9IO/NcBJJ4Xu7XgFM5YdgJCwXsww3IfRIX5AlWRZoM1NdhStySB/nmBXFffCOCdOrxBUL3Lm9f3
ae1wQgRYD6dpizYPEYovTnXLJ+BGYd04ll30AM11DnwOonWVV+/HGhkB0Aq8JdQv4m/YPqlFNpXB
Y9pN1iowBnmjgA3dtXln7Wkmp0EG8H2mnmXhnV8MICfDJ6sLhqUF0zgEp8FNFvpA9U7VjOvasdul
6U5vddRA/QaMshmz5zlEvIWJVX0jQkRQFG+zzxCAP5AzZJM0R2eY/BeAGN1l4o0R+BOwT/WaytwN
MQL2pmXbuAKRfRZxfagD9QgyQ3rDsBxeR7wYwfMCBtdO3j0gzxXCzi7MH/JsqmETUHRbKrqlbPd1
B+A4FWHCbN/WNdskrZ1fEWE3VzmT3p1V5vKGld7WHAfvjqqGOGhWgRVMG1vXWbys4dwxdw96qS5W
ofYUrIVpENQNpbungFFEGTJd1wwesNEdAyEcmyUB6bYXQ5nXuHIQ1MvrvR1U5Y/OSl/tZBLgvNbB
Eq/p/LY07XrLZW0ADzRBrgEszk0Rt/ndn+aR6X7IinKLgEW3LjtY4qm4uCs0GwUwSLgkayKKMnKY
NtZS4SeFOjo4MA6gvu6EVUrEJXLyw/hJ5PlqGvPxMUlB0BClayLXgjd27G45CBo5HqRa3NCRxQrE
ouHQV02FDFzf9em5TvJyWZvMv0KfNNraoojhOJOPp9RCdB6QRO/etZAocPNIfAGnai2zkP8IW//Y
NcjI0HDAAfwrD6N4C0DTtPnnldD+9WmJXQNnNsODwTVNE2vKzwshwlBlYw1GB8N4EyHWPkB6iSgD
kJu69aPW3EEqDBERquvgHRU13cPUuCUMb6CS73qFeU06hf1AX2Zfc3wrAS7jz+89gOEPkagO4p2n
JVZIZ6WFyCrefzp/TaIqrTawpU+wcIQx7jKs62zeR9hAHy9bPqaXNmqsW2pgyIDc/vNtMH/dl+rb
4DDsG/R/rktv2B+eB94wAOctWHt5w7R7vmaS4ifP4HwMES+EAWxrgl7m+49ehvaKD3b562JAIwoJ
kD/9+qMCenbIlCXLf75kbv6yz/FMYQqBv5zA4sF/e/ME09SE0WCcXOYN/RR4FZTQw/gzYsJSB+Wh
tpNuSz9g27+q6RlfmYBS/V4dQrdxrmZ2G3+G1cZ77zppvJUTlwoaTWsKc2aeHz9aDrRccrkeoxrC
wUh5rFRqRndGWL59ghECX/UtaB4qNPlq1J/e+ylY5P2X13F6f3iPhDh4puM1mOPFwnZ9zlD++evc
j9MQV5OT7sYAVC9nacOUpZtgte1ho4kAknfXTz0MdTXhpG/TW4Deqqf3HoHBJ+SHrGHRhwFcGy1Q
GeJhgJVTBIFpiWcOWKB5dO+wrDz0upWKdAiRCB7dITxFnMGr6u/xqndS8IRN8wvrj//8HbB0dOHn
fy5+vMKDSgi3PA+crJ//uaBaZCMyWeFu5nDZxXKOyCC275+tUCFxCQ2VSh/SKayhA476blTgtEGg
epG6UHEM2w7CfMxD2Dq07O0ILecI7wug7n4ov7cTJ0xU/+XbjD+SraMBH/4xDrPwL/F920KEhwvx
axSLwdU39+Ko3so25YcWduFLIIWAYOud8FOc+ZDAA/BceBWYknyIF1QPBJC3gRYjEtCxij75LJcw
O3Lci4mcw2OGvCh1U7mjjmGEsAsVcwey1HXSM4g6xtgtD01xQMbsC8BWyY+suGDTiCeSCm1kpALx
oqWGl4gMtnc8kM0mY2V5amTnHZBE7rdNxadbcLPDFZZy61nP0zVB/GOa3uaxDCg9ukgmFsXFDCM8
QKAg2V0AtD+LMM0PFn7dpg4PtVCgCtvzZDxW0N24UC+qpuLYltMO7OdXqqcqaqTD2JXBysS2fzmf
gSprPWVtDt2iVSrcUt2Hkwmv2bZjUh8/1GWdyk4NK1dOX8JvkobQqRyQv7aWrLKPddTHcKpce6B1
CFj8ftWwosY7oWD+Fjutch8yqCBKMMfg4miCnymkWoHtZzmnpLAQrk/NADJ5rdEdqZyLPFw2oRlj
dzuuZVC7cFWb0nEJAWU8Udwmu/fayDtPPLhxeYSSrmplYC7qhjnwCnEy5G9CfjR49uO9R++wHxDB
9rC08xT7RYxEIs7bNx5slmkOX08E4XSIFrTOmXpwWaY7xMYRgNaNVGenfI3QVXQ7nynzx002jtNq
niPGjjeZkhuv2sZ1CqU4Pc6qhVqbvumt5xnyoLza8Ld8n9Qzp3gFomexpVn5VASXWIYH4TAnX4IO
CEeKIhh3ks3nacKAn2Dd8kzdaZ4Baf1FAyHNAxWDSHDN2gGuU18CHcoQehrStU40KhShsasK/E3o
qqjOtkBHQK77Qv1jHkOcIzCjFd2bcQg+23kdnwS04bDGdBsr4vwOQo/8zp4ghQU/CX/duE6kloOR
LuDYkl2pCzAGNihscCONLStfWwlvtn4HNeFavspeys0w8XjPDat4klOADYgnX4GArFduk1tHuI4O
d0bXfTHLIH0FLgpbCdWYFxH66Q12p+6CGpQ7/OhKz7jGQZ6eprqRKzoBIuNHoeGMeTdeINUHGfsB
fwo6iQwe8sK3ob46yK0sen9bc6P4BOvt5ciqYGPJGtRSH2kcozn2SYncQ4tg4BKrS7I3U4+BY41b
hsgjWxRDzMplgEUsMEN1pVbTjbuVizf/LRUjwweeCcar81QVvsMlYjQX4bfsHoYY8SawEMijYqkq
dgNK427u2wzgZ8MqIN8Etf2VZvMKz9jCZNdZ4i3cvLeMgd9l9pHa5hoFJkQGxNt8qcJo1AHvLLBa
0VduS7xfQUQEtKEaD03EY9+uWcdEEyTrtnQdbc74yebq7Zp7V9wATqzma9Zfhw20DfI1nVU6QLBP
nodMuj6BPtB1I97cz9f1T9dMg4ba+O2aw7SCYD/ybjeNGja9kTrbtvL3BXJz4KC1BYAdRoetBX0c
ZVsBtoqcSBF7zs6nFmHkYCsqCVu3uWcDUkfiiBCubRoXoufogajeBLF4Tu0IRtJUxyAvGp3o41xb
dBZbAGoXKCNdRTEeAHZ6n9Ql+BwVVN6wBZH34F3K+zKDI2XvX6kDQAP2moFKtaZiwVLrDoOpIw2B
A5hY9VGvNlRXCySL23gJK9Rxn3dy+TYM89ZRA1xOW0J32+rkPQud5mY03e17j6wcW/wz23xHc7VT
459xR1S3LIviSP1oaBUOsGNjQ72nOjWw/jTy5GUqp3Yv7FKuENlNtrwZnANLVXYOhwo79WEVqGIv
0hz2VkxlCxkV4/do2kjl1T9GOX3FG7T1JHIkF5IqUMCEQ/huqjleLK0mvA4BdGRUZ2WfLVMgV4xB
AMziTaexXhPHhhB/M2V3dOZhzJ1DkgzuHtKA20K4kBeyJu/YJNF3u7dKpEkNiFu6wjnHeGpseBGa
YNPBMntMS3/JAmAejHpdcghzSKAsXkXILpDQ1ulPRG3EgJucACgQxVb+zWjDryWcXT+5A0uXvB+D
+xr6lCvYMDDQPqa3c4PFXxx+OW/chuIKPgRoc1HUPwElDIKzCUTBT+eDRTf4fHldbPyxgII51M83
FTRAVoGEhY7qTGy4x858BTFvEXRW/eLXoNpHUI3bMcQynnzuHspMz1r55lJMMDqyh868UXGKXA6N
RCwyiMrxPvDN4uDBTHpNAzK1naxEfAa1RMIgp6/3gOmLh8l3b6l9chPEdM2yv0QFwvNgN8LvXJ8p
80MIfXHvAT+7Zj+wKN2UVhV8DqrNPNAW3dpqp/xgMkS4YPL3ab4QoGYXhsKNS/FCcLaQv1nmekIA
lw553KqnSUTjzgIVfJM1bfuSFuOCOhg2+Hnw7suOEF8q73wB8yk6Ve2AvF1j13AbAgNxcqGAuaIG
w6k3PlbN51bYfCsgVbqN0sF4zjn+8vqckLgrV1MkJFK4QPzAI7mcb1cOY/UF8C7hnWvAoSbQJsI0
okqA+EEg6aWZ3HA7TEW1gwvJ+DTl8FnRNzrNoKsAAczs7E6GDwheYi0mPJIekax6LEc4eMTAE+zy
MIVt2Jz4RvbbgXYC4lkuUpdaCIYazNC7NwaYc+qnaWUkzl2hD0Jib1faibGmx2fsd2gQXyN3qOcH
apHF0zaH7s+SBlGvDujdEdvJM5XcofXhutHjMZzn1hbbXPMABtXCAyrmUXLDuKZhcTSDLnwevBw3
B2TPORZZVSZgTiwb1tTqZqFcGUjd7Sn4CCTpD1kIdqGSntECiuJR6RkhTwdhdcQvnRLn/YssLiP4
TYIUcgL2VJxap8PutCsHa9d77Y2lG8B1A4nsQ7MxFDss+u5+KhJ42AGXJU6BY/31cYxcuOxMw7fQ
/NzzEGLfbZchCObb6TLyomYp8Izcljbj6RJ2jFurE/alBt/kbqpYdLYzdvPWWRlI+A1ttprLFuKF
YGiWDZxu9GS1gg8pS64y9uUdUuMI+Ef+99aVaLNaka2tpsbXjE5U8/xrWzTmGkh0tgbe2YYSl5s8
y9Bw15nh5zC2QbHsIckeRGlxouJgWztg0LCLygPnXk3FOh9V+hxGFTIZ2tQLG+n0GW4JYlux4K01
kUO6gmLTuKfWjnmvPI+qGxpqhOvJZmAsyLK4RfDlkc6TKV4e6KIyPT8o43++KGrNEH2kizKg8InN
Qlpug3FiJ0J5znhPXVRIgC8CvMnMYgHUZZYR+IAMDY0AAXbdySMxgfeJ5k40Z6w7OVk2rcomXOOV
fglYUnIPHMj0aAPtnjZgB1OJ9Tm2aFBjp5Iw7b09sXQuyWI82WHe31Jb0Pg30OsSN1SyQnZfQlpy
LgFV+dwOnnmhNhVmX8zIiWfVcAaHeeRGeH+eT8EqucBvIziRNjgEVquF8kcAQvTFBW0OzQJTiiO1
KjznF2bGkaehVvi/4zclgbRtQ/boer5cZuzcuFW6R2osf5hcL9mmBjNXVAwla86iCj55zI3xLYZP
aThCbYwaWYNT5XbtH1Rt5A9D2uUblSBET619YGenesSKNo9toJMi5AN1zRSkyhGox8ZdnzRq+24N
xweJ7Dsm8qHAcAD6X1Z9fZE2rAVkmpkr5Nfri1PC5xegHHxMImAsRjg2bObKMvLRVNbmbZJ1fI/Q
wwhLOD0HAxAks7NPVR/thwkYdYgjqnvT77NLGUcXZphGDrDohBc204adkG514ro5BiMQZ0FW5vdU
B6Orz05mAYilq2K/h2m8fhEaaYLRBGvBymusvhg/mIBOBRHMHalII6xiE6Udu6MaM8Jeb3RkuqG2
aEz7W4RB5u7Uox9geN0WiCRRUSDsCeH+7m7yhs+QymlOVN0YgDXiC9odqBjWJQfTCHQBKtKhr6wH
u5HyTGfyJ9ArYjy9QFnChdKBOSt4b6zwRZG3PR/Y2mZtt8ZKU25Uk3srGtjlpnHXf5//tXXpT6sR
ZHPA8jDLlNjWTSqTrRWN6p66OwqJWYtN1tvli5DjHch59lP4TS3BFwUfP1zC2QnK3p5t36aeRmYb
4vBeRZ/SwdsAyTecqTRXwXADacNh2IJQ+zYcOv82oONjt4TSwT4qBm8tOXgOI1Cwt10isvkQ1EIb
LgQHv80hM5PVkLsbBvXWz/bbftN6MPbzoyJe9WlonpHPbs5AAmardJDR12BPYeb3dsa7f2yn8Xg0
Z3j5k/kGWS5vVSJFdGwbcPPJHf29SCI670VQhyA/ozuDpojO2H4/vrfS2BqwzFXls2EvkMG6qW3z
B6WEXRFBoq2q3C2lhLFrO48wIrhrsAulXkHiPY499IrDrPc3s4eSZT52bdxcfe6XV2nLJ0LCFEko
Nl5R+JsWj06kZBejC1olSMb59l1nSxpVdorw2pKmcVQABfRXF9LYSoeoXEEKZ1iPfZ6OC89Xt9A9
TPYEkJrrCCblDk29ms3d4PkNgEgxQAHdZQI3DULK0cQB2VUgzkD3z36kVliMweAYvg4y7cPNECJO
Vxg91DRNK2fnKPXXJrJjt7Y+jFC/uA2z4stoVemBSlQvWuttKNXRgbnGsBrx0nbj2NA6jiFOfRy9
untw0rZeN2VUb3pd5Ibp7d0kjJfUmvPEvykrfqBGqiq6buXbzLxSCX45kOcds/wID/aPszFzE4eV
e4VTdnNnpOfWUv3V1PbnfYYUuh80bEFtVOeGBmys4h4BId2f6vz03FStdeqS7PI+0B0HtqDiLwNt
5SAtjkHgg/UIU0xvZ6IBSaaCXW4JIS8K+wSILpgIYYXezjCUdVRB7/72CTv8jekFQH81iB4hkoYo
hWYhAB7Ql51zolI7GM4RxhivVKIDIP/jMoHT+dbOegh1dyK86xBP1YNpmiBuDP3rjlddnUJ1W8/Y
RI5z6nsjunMjgKSkggfk9GTRPymBrPWKR66ABCpuHx2SqjpK2zbOVBp78GiH3nyiUuX13anKxbSV
yJyd4jCCo6Q+pH9/cmK/3TZp+UI9pFm+9aDiKOXS4UUCW0LeQIIWJKAJlrULH2rZl76U/g3TDZlu
yDnArBCEBU0/7/0bkI3fRoDt+mMqLNB1HLnvNETBNid+5VC/nKz6LtMwBQ9L+64uEEahDlTXazEg
A1jYeVCdG/zq+RvlnV1nWLqpFQMsrfiFDr0/wIYNHrqbDoZKeKFHQyQ00HnULRz8xcFGSI36USvA
hQ8dXNl2pKylfPf/U3Zeu5Eb0bp+IgLM4Zadu6Vu5ZHmhpjxjFnMoZiffn8seVuGYWycc0OwEjuS
VbXWH7BEcf2LEtYKDDT2Q9WgymurFsV/gPmEfy/wEiqD0Xz+Oou1WWzrtU6LabWz4J+tX/2myrnD
7OanGMfmg+As6RB+/it5V/OpIRup6ls86AmbyfqoT0nzIdgmFVPtvg09Cx4kONlyr/Vfw0tcai4t
0OyHzkSxZsHH6RsbCQTQ17N2rVNnqk61qn7j0Ip/t/rB+NfYqo3aTTAK86AtFiS5TiCShBL/GQDK
TlV91auzyu3i+9635SFwsuXFzqN7DZOOX+sJkMlRnWAK/1njtTj5flqRR/wSfdqLs9YaD3nEHiJR
v5w6lcGCWY8/jwRI+E3d9aAarMUU5+B/R/h80usnFcjDuAWMh7VszWrqDqPfGC/8lNphzONyq4q5
BGnsELYJVVFOGds0Vgpxm5j9xtLM/TimKdghhgYgHMOGO++idZbxoi7cpg2B1bUoXC4clMTaIyK8
6ATP/gMCY7tamNM1WMlB2YRFqO7E2wHWE6nsqLOtbyiGIWmYFfXGCHL7m+aWRGu1soHn1ljf2lp+
zI6VP8TEP1/+Y5BmzPq2rEz3vsRWW9PSjLXSNo5BXXLHbBN1Mi5bZiz36Fqusy80szzMYLyJjzP5
qqIlbXZW6+Srih1+qpulEM3jPOf22cwDbYMM1PyuI5q0GXqnuCPkMnwDk1baeCaoXqK2NehmwfQe
+Ij2IvhU3FmDpnqpwf/Vy9LggpSGK4iGZMM3W7tXV6i7/q+XVcV/vSy9ZD5W+0YbjS35w+L6dUgt
9OBq/f6rpjCYx0MwWZu2deo71YC7SHmF/N7f6Qj7vpcF9zLzzCsuYe6xmBtnn5H5fB9auc1XzFLq
YWIQ151/l6IEe5sGLM8/wUyMjNo0e82b7q+RRlR8jlQd8r9HNmZhfY5UaCcsJh/nqjsmeFX8kOVh
QrDqzxYnyrCpB/fVQaVjVw1jct82WnZptcncB45bPRNpIbflDfYf/dKHalRWzR+9WJJvHcH4Lagy
cRU2qVXDIX4HCTZ7SmUkNnGRNz+T0UflgcxZFjGjarV8X5KgQbNFihtykcPJb6sPFv3FtplsYlEY
L6H3NPvfWXCCqe2TP1ejkwzW20dZGN4mqpzkwegi8+j7mXusLIMkEfh7bHrH6cN2K2xsmFsNLfro
mRB6wwmuUWNULwMUgk2NR8jRCKrqRSdVBd0zWDa1LeqXcR71W4dbIvdd9aJ6OJN/jJc5f1BVbhvI
Ter74qT6L/HgHJrCyLeqlSB+d0Ue7VG9lKryxbTFaqd/VKVOWAF8I3xM1LWTpNX2Lp7KSMPyZtzY
qgDB1t9V36kq2muRODC+E83CTCcpXghdXYe8rL5bCRhpG0mfc+v7YGsXSB3SqL7P0YyaZ2/zp8DL
473Wf6rumgE2afJZ2Ksiugxe1Y0fldU3R5z15F5V42O67ey0gEtRmKfKFM1OXXTQnHPFzfjilh2U
PMs+gSHLnrLKxrfHBtwtvQF/qmqImAob5mqiyU91B8pIzAMkr3LMNm7c9kdUvDQSpGv5/3Hw56XW
V/vPCxgxLqBpV6G+sio2dDD70bN4TQ3EyHqjdkJVXxrTsq3j0frs1pbTP7p1fv7Pbi6LpZPOOvl+
TpQlOEnEX0nWBaH0DPwSusX+puO8W6IH/abrgbi5biPCZX2Isj4YDgHcjJ0quo1DHp5AwZ0qRtbr
ELvdm7Ba+zoVcUYak4sNrgOZuEfiMB1Cl5z/H7DZt7pZEpwA2HRJjSD4blu4yWGdqD8h1jLsp6zT
LlHQ9BfI3f7eSmrtMZ0RfBNwvL87Q3811fglQwZqTNpfdYlFxeR1IwqteA/XUVBevXruT8hYz8c0
kt2tmDVUhbEieSNB9LtIB/FnrB8d0+J9NIb56uf+hBsN9562kszStDEOMAP6cycW3FqH0tklaH++
6OuDgt379FNzJVrWxMTwixyOmaVHx1lr420nTeu1TDr/WDcEIVRxBlJ2zLQs/SxicmodzUBmn8Ux
5i4tsD7b6lVqv+b6RLbcKkvmV4qdk04U3eqzs0e6+thgpPjZ6rZxd/SICH2OFZXHOi8XWA2uY2uX
7ImcDewf13cFvafANk4bPlsLByJp7+uoUK6tQVAnx9jQ5s/WPIi0QzwY+mfrkqfRgRQ7ZIz1yq1H
IgRLcOuz1TFwenZMBMfVpUSiWwe9Q0dVFZnbjMPSS2QL1rHlNC4H04kwTVlf1xjM6YB9G1StWZ6k
X3fHaC5f8R6aphCWpbxXB37ev85S6+bJZbr7dw/VTUB5DUnk5QdVlDUmw6VwME1a7SML2/Tvg6UD
Z1RHNyZfy0McxU32TYz4qapU/dQhrtKfXgKyVJVUo6uhP9kX4z5dx391TXNiUXlKLuyrTp11pv5i
lliafl1b4sx68YVzlknEjKe6RSmc2watnK26sFHw8AkT2OMFLOvL14tFFfYjjVY9ZGzI//H6UDgk
IkdlulN9v17MM7OT48v67qu+j7XijHb1m3rlr2snpelvCIwZn9fwniPPgCq62q2og5bgtCICXLLn
lVX2v9V5LpwuVGUTq4y/Tx1Saei3IDlgacVWB2Bx93mqunZ1roWiw49Ptfwfl+vy5GBGMamF9SXn
9Tpu3LMrUmV71nwkRgJzZ6Q+azN0cIPRCE5NzL9cFV0n89g3ieped4L4rcXDTdUbk2+dmlZnGQv4
6t2QUMFcCdwZlLP9WhANUPVZEUynRUyQA9XFseUhRwKukBgIC1qDVIA61F0a3LXrQRW7zmn2egRR
XNWNTUOSmhx/HeqmbhOZSr371Ou8+yyX2z6wlguTsE1sbG1wI2/YEfhiXslK1tmqo2oxEmwb195i
HftVr86CyPhrmCp+jm1j52xXaK7+bHJ5mGdTuwPSkPt2ca8Os50gWLUe1JmqS0gYbcFBt5t/NSA1
DgFxHas6p9pwmPW6Ov+rXvVQQ0mTR/uW5fLnK/7Xi6mxRhv8JIC4RuYI/eZjNO/11R5xXg/guv46
1MpAMYdWcnJjfdeq4lef0Yr1jR5o48GUXho6hpNgKN3GJ68u8sMo4vwtibJHRSlZZJTyt+j+2SMA
jP5/94i0ptvOS4c8bICCaNB3BK+6uLwzdW9nW3jtflV5eYo4wlf5a0RrZv3Rqpp76DHFnar/7OzN
urcdChztnL7vHtCah9li49gxETsJSPe13hFbqipsZqd7+KysS3kA0LcKuVJXrQfZ5smOPba+VZf5
bDA8/GMy1LQXfbVxWr2dJm3WN3ke9ZuvutQXnvdZrpR301eTYSCnGqqRqvIf7aosJVoY/7rcf3ac
1negWtRBXdE1/L/qvorcdUzsqo9fNjjC7DMIaNuAjMsU1vFc30+4MZLZqRr90sBN0S1BUbX0kTT7
bdy1cCv5lfeq0m3d1RRkttJt1qJ9ao3yqUl0niVm4p38ICNcMrbZo+m/qzZVA+I0PXpEHjdfda6D
j0dSwqYzMqd9EmAFnqon1V0dcitg2a773udrqDpb6CmiIUIezcofj0ahg4EpivyeYFx+L4l9HAUq
EE1UGSP/XZ+jalF9wHJ24LEHdJzX3qoB7qSxrwYLybAiN8+Vkw3yJSow/HUarPACP34unGT6MAow
661TdOShG0zp8hiARCnn89xAqmfhGD8gpIlBowYDM2PrHI6FPf+CaL+BhDLGYd6PYI2sAMySjaBA
nvQvWkQSb7BapDs8pLf1PEtP2rrugrtU7axpnl5qCZg8cVHWN/zs9HkljE4JrkQIPvbcfnlRXqOl
QES1qy+WY5LH9ea8Jjv0v2V1pg4ykdXRlhZiT3F87/59ILQG933isVYkvnnQffmhGr/q/9V3mRqx
Ytv+8xpfQ0XmD2c8+Xbq2l/16uyrbqn95C5BNnt9B/96pa869WayBellHxfCv7v6pZ0cGrdEaCt2
5D3CsBjVe7G1n/xC7tp0Ab9fPAYeRE6t6vyXujQfauyXbjqJ1BfZG0u4eF1+GcYieFmiXm6Ju3h8
B7TacnT3Fsv/nbkWg9VLd9GA4KgrpUNr4BsjfqhGB6mgp4jbhTX3XZs5NTZsMbc63usco1XOlgwU
WAZVVqfIpI9nEK0r72MKXosIn+98Gq+qBJXzuSj18fZZEjaBLX96+Cy53rFYKv1RlYKMCImLbkBp
ed/An0MbHrvlpg4mQNhdGVk6EAXqysb+q6EFUYnliu/vOt3pXRj+awuiKmHME+r4dYUGnYBbGotD
mSeY0f99Zcjxwa60QF8GmHBCdyrsHdpj7kMH6ObBrrz0ONsezLKhBlqyHiyiIvcF1vNmxG6EVSl1
vRUfrHaZWJ5SUn3TxDbD1k2gq2Pv89BjmpRq052ezOO2ILL1ExWexnB/tijtbfWsMO8srfau80Ba
TTU0sM3x7dQ/htGBw7l0vyFk+YdZdtW5wKwBEcCv0xR49pm0rlw2aWxW585w8e6atOiEpQMxZwiV
rtPWL2IABs4M354I7tUvBQucQ4sV9la1FpAL79uxeCMYnXebflxCv0/kU70mVVGZWULHw8VxiANM
AWBIYSvSl/pZGtHyecjK8Z/Fn9riFgj9avGFqBC8lPUsWirxj6Jq+Fddvvar/RILWjXEWLodzxbn
2AIHmoQg4zEXYucJvYUVm6SPhtPChGlk81MO7ksw6dZL1k/2MfPsaJ/XQ/RNg0YwAaX52SxIjpbD
3F1TvbDuJ7Kdm6adytuUCF0e4hgmWgnKCz2MMToZMsMrUprRg7ke2DU113ElsqWE+3dgYFmkyxHX
GBpVN6bo34Sv07O6hjoINwEEHu+hpYJLE/aCtzlShrY1f7fqGqVNEum4QvXpIRlAhEeDI64pOg7X
qhFovsrIJRJB8atBrMXC7oA+WZgwfTVortPcawA3vaZEObeU3rsVR2gti9a7uBCLv439T3etjvCA
OvVrcJAsQROCYI6PBlxXFLBGDXdUV7uDPGzvxrgg8bM2qDrV6hhscxFrpw9w2GaDBmGoFYt3CzoQ
4r5nJz/1OX+STaO91EC7jnKxzX3elNp76Wgb1WHGYXvbN5l9p0ZGJVAdZb2CzchTYejkd/+yguic
nNkus26p65g3IpLjPi40HET+rlNnbSqazRrO2M/BPMAhZGc0zJPPH5Ox6uC0uXkNqhdVsCoeEGEB
6O80Vd4vr537bMe6O9/ZMPi2X6OadXxs1UMo58g7qAb1ViKwD1j4xIjMr67YHlR8rZfibcbz/TbU
RhyS0Cfg3C7zwWukt1Pd/IgUgWsHzLtr6//3KGdImtce8yXNMocHxImGB9gISH1Y+CSTSbr7qu+T
kkTxsvhsB+mmGrJc1+8IsZ7UIFXP50X0oRvXEJdn3ch2E2Efffeb7ujvSlQnDQ7oDni/tVgi32/4
9ZsnNXc7BODrrFh0J4lj1BFklnVzavnXaL7Rd9DDf1px/5vLxfefOn9KAdBbpWmEg4tTEmHo+SUN
qBq6YbqVeaZvzdwADCz9+9lAVU0pUqWDeYj1xL9XJVW/VqlewSKiw2fi1ywrAH+2K57r2YweteIJ
kDCUl/WwYMm0TZsp2asicNHVRrmZD026IGzp93fS6OabsxQIWZJ130CpWk6qMfGmeY8Lc7lTrfjd
TpeixIdHtbYFil4zOC7VqKpgWgC1teebKjkRMYZI3kVsb0pzu/pN56udxgCgdJsDSN+o4pdf9afR
jSpPax/ZaN1GeVrrnj/BjTbmZ99HttPUMDJlybs8a7B62ExMr/NaUlW6ab4hE5vfq/6Sv+wBm3hm
nbWHD4zocRA2AXwuFkCmQGQDpJiJjY6ZXLHHYgk48fSp88dZd1k92sk9eSl9yxsaH5G1M1nYhjw3
H6d2qAFXmtlmLmb89rQBl4D+Pe6c4CE7uzxsHj243fk8k23NC+9gE13f+17g7u0qf6/TWgOk72ob
QXrySDr2hBBw8hhEPNwNOIrffQLddodCs2HaFhoX9nRVZ5oD3KipEXA0XX7WVBsL7NvrVfQ42BB/
YpYmFEvkjCl51CPcjmVkb/3KJIqbrUjyozc9zsG6IgqQ9o15fSQw5upsme2yeTUTWN7IZ5y5/6cQ
GNsfFRJ7T7VuxafYLz6CIf4h0jg4RIkRHLNII7bFdphZMuFftLw6yZwf3BXN4MvplLY1nxX9HD/B
pth2whk5qYcaJuJeIHuQRaDPG+Olt4zvgWH6oQ4ibGv3EdFOzQtbiwSRPgP8GeN+M4zcPUQJSjyn
Omy70AzRH4JAR/6cPGFoLgICEImIHaBnD+JpPcktmY7dOPbMy3qeXiZgi6GouvuecHxMxP5X5pRI
zDZWt4sro9nXnVaEow3A1MyHDbqSAJ2SD8Ptlx9d0x/wLzzJxblZdatfAgm2lclp2AVJW4ZGMv8Z
9T/aEvVl9r6/kcLmu5AfqAwe0qD8NhSAScy6h4pbPZmg1cKxxVze1L7FZbZx2oZppemwHxP2j7x8
R/drb/HNlAGmeZMnf+ssE7aO/QYboDkDOWZ3gtlLaKcDIQNNGzfmUuYArJzvZmIuAL5ZUwZJJTZ0
+IBMuqtLJti5wGyqqbNr4oKsXmLydk6GR8FU9QfQoj+0sSxf+ujPBgndAyS0V43oKOuE5VpPBJCK
ZBWcmnImj8Xb6oZ5BY/JJ1kaVJkILwCRHH/nadxejdnCDC1/6YfBeLW88wCCcqNF4sWAF7KtUDbY
TjwDiHjaJ+zFr/YynSuh48SVFdexw/PJgCKzWzJ+DBK9wyEBT3pO4lPQdDvPxDwxqloscuzxsTeS
lsVn1xwSF9HBYegfgH5s7XYeQSHbZ6PytVBPkgKkXf/sLRUJy7latn1UtmeRjqe2B5uL1BKpWeDr
Wq8fxxGOWWWXAF/BdSFbT7Y/8bBQqUkTdT1ucQOuDEnkXn0PmDOuOaJv3EPXJ2hnJvrGBQEpkF44
Lgs8BhsLoNCISuPMttzfjL3G0j1qT8SwQ7vpZlAc+jkNBPzwpknMXTM38txnCKff1GkD7y0P/9G2
mDoVZeUOB6n3p6om0AU6klHqKoZq/rxAjEdQGplhMS3jAbJHCdvZbkOs3id0NBZ5FkFi7p1ev+lm
3ZwBki/cYYmPXQr7462cAZn05vybucqFJrMEj1KsavKsDEJmv/jsmogrlPEmqj08qHL/1xN+Th+p
zwZu9pokLM2fpus9i6gPTXJ6pxiu6s5Lhz9qyc8jguWhtl0EfGu0m8nAV+Uqkj0EtzbPEvSDMV51
xUuZLM0u7wEit/3vwkOzBKCuh2xqXe8WLfFvQxudisXXniMEfqM5uRhW/1o6XbVHueSjK3Nt50WS
Hw9hR9R/hnvdFQMpfBLVhqyeZTJ8j1u7Q8kwcQ+ZS0KlHvt9NLTlhvebXYpiOgQJX0hRo9liFs5w
31R8WUYuXoqRvL7ZsHWJxCFLi/1CQPnoCnlXFBXSPln1Otb6RqzeMPhUYhOFZxoZzWzfVdFdW6Mq
kXEz6sbwUEfGe2J6hGpke9HZb2z6ZRh2MBeds2Zqgph9Zp9ygchF2zV/CqOqQjypLb39E5WeNJzs
FGtymWOYGj92pWUcUeht497ZooBcefJZz8VbY+tJGFgTW1+/uCaeG+9ba0RfOAab2gbFyTRYJGR+
9t61wRL2mT9vPHlXd3nou7MbiqDE8L2o/X1FuufaA1lsY9ldS6cnmoscCWJq8LA6oaNJKftXYvpp
KAbn3apiGFmEnG5CD45jjuaJL8+VNv8OPPSvnODDGQvsP63xVJJ5ChNBupjJedrMDnC+ygz8DWHo
6cjOKye7hppNXjSXdOx4BvuTvcc8wwz71enTyo03CN0T2NX2zp79YJvWA94ZGeRUMaYXdRiEk17I
jl7yonWhDrsFMN7h2c8gWBBZCgtXC/uu/TO1nDdnnP9ozY4cWGLfAca+1LAQvZk4ou36zRYdhG8S
s9GdV+YvyIo714npPuzavD3WsSweihkcnpb0j6JfQrsv8l3Bom5rQsxCFCvF4csYwdIW7qY3cFZu
TGEhCORnx7bw4ztsaSLUfqzksgSFc4pYqZ1FkhnndLRgaCblcqnSbDyWiCDfAQ23DoYQ8/2QFDGL
WWitwGOa/TBijEiuydjVaeY9FF2c7OL2vumh9djCJZmKASTaGSyJywafwwTx382Kgtx0mU7e3AYS
7wjhvLhWgF3gIppXKY+D5uI3UKb+a0fSftN6To/afoLGcA8MyJqxZEIiX/+2NOycjGao3rWGnGiQ
ddOpdmxnC+VVhh2Py/fJgemTwGt5h1bcAU4G+wBOFde/XljvTGA4K0LVep/cvsfDV+h4azr4ZxAX
eY8RRAl5rI/vxNPZsGXN8G4E0RAWoKTeAwcpJGfx2/e44hGBjmHzDoVsQlQbibdYs84YDppX9CcD
AhJetFXFVCzmtdRgEU3J+9Jl9QZekg2mO+72jT0xydr2OXHZE0exPVw7RFyvks96mfx2D+CMvTIT
0LYOCqiWuefcs9YmohQ8aEurvXQZX9lobwaXd4nEUIaU9zSikYwoTB9baxQUNR+gUcB+Yxz03Mk2
Ni6Q8b2uaxLjFPnDH3JSzGiDwPGvnsnpzPsBPZEtSCF3gxuWFQ6Gld8aZ/TCWWTWLiMEHFrOcDCr
LMCTPB33S30dsmY+9jKNrgufRUvdOzCLr3kSiQcCqX2IJhVTVqvpN6TQUfQrlwfXnpmwq3beEEgA
XYdyN4kpdrL6kPYbyAzd3lpNUPsy3cCIz27u2FenYMFpFWlHPFjq5XvVV/iMVMuhwZVvN9fBG+Dg
bd+OKcQX7v9oAfE7N77go7hgQzAc7hbQ2p67i7IkDqOcQKts0cERnO7TFMqQiND4Msb8wdWyq7k+
uuOcwJVb9O22RztUQ4eNiVtAfCAggBZr5Gz6oPBCvahIRDI9dGnkPo11QFDdKfayt+pwrAhqVEHs
bzMM4EJJZnknk9rdzn47nBHqcO9TYaT86RZwC5JwmWHzQC1ZQt+8Kr0rrQaQrnU3I023G5w5vcDt
aA4s/B3e2Q3dtOZooJghNBldOm5VxKHqP2xv6TFiE85xQIomSVJCyLNn7Louqg5VLPKNnb5K12ge
4nkyQyJq33l6k2EexXwunXCYhzpMZKzd3Fr218mdtLAkXX8vxSg2aDbzwfXgnGC9UVaEebKufSDa
DbihB/hTtShQlg4G2p5hoEyP5mWIKK2vG9kVeuOev8R07STZRmwUg3Mc+TimFv49Qu6HIdbycPD1
m01AZ2e58xwanXbugupVCNe7KzvtdzvxQ02OYd3bdVPu5Jz9khb4nRZRcZxzHqq+Te/yYZxCLZ29
cMJloGPeRxWCaUV3izNG3tFujnAPEgNM6T6KMF1DukN42m97sseLHQHfmupkk/STs5GC/0lfm8VZ
EwMUUIvA6DxVJ38ecAbxq+YOzbGr3rKlsoCKWFgimlhuAJZlRSYK99JOAY4uE4snox3kAZLtLpk0
KGuNWI6Fk0uglfVLJ6tHTQfwhsC2PHhSfhgiNzdWa9jcYTk3X2Dfln6CJbfEJz/GtWiNifZDku2Q
g2YFHxvzVmf3UQeJOMNR0sleLd+ltMDKsSzYclPAocBnfbNME+5DffCRR6Uddt5ArAOZpilHG1q6
N1Kl03UCZIhmkdznfvzmIVazmwITN1OR75YpdtkMD3xBwyD2bhzpO+HlbxgCTduGkNkOyVV9lyeg
CSstRmjFrO/KCT0sGTFFFa5thR6ScHstHbxNV6TdRkTJgRhcfs6Q3nV1072wxr/D7LJDxjx9sAxD
O9TcSGE0P+QAOMYiFY+S/WzskGi2fPImAl5J10h2rHprstJnZ1db8XQoatfYpgBsQuEjJ5veYjE5
LG/ksClASG4dL3tMAnFxHb/ddUjkkrcu9P0AHe+4eHoA4xeRE57hUGmGrNj3CL8vvVsh55XixYCe
+j6a9Z30/DaErpzvo8DhSRKJeIfK04eB7s6u6eX4bBSEhQrYN41pYvUVBHiWWgh/NVE6bTF/fOan
8omx+D8If+Z7oeF0MVtbLwcjExOUA63vtTiatAjamVEBzGcSbwnxGXiuGw1sIKD2rt0MLCn2jYOC
eYMSBOjwqntqcihcFonAgJx/O4Ggzyd7DnVW0naPNRjPn5/ILIwXkeaPWtQsm0E3onshrQ/XJg+/
DPU57TNxKmce17YGnKsim1F7F49dJtTTC967WwMXuk3TGCgiVRHUuQicUibPnVkC8ppyNB3jJowQ
WD3oGnuWoXHaz4OzgIKwqwJrJNd5jIJs2cPRxAwjg5DaLxo79alIAQIEzQnLy/48jWI4q7OvQ+za
/blIgU7BqWGm9gi3g28/zGXuH/hx67OV6/XZJd6175bqOiP2e0YSaTmnBZu2AF7SRl3N70gG9Pl0
aEgwIkNzIXrhh4T6r8II2nPWlG+tXxBAKe2xPS5JwRY5gNXs5zOyxP18Hq0eLXNP4oXrGkUROg7q
LGZpnwZtNcSrD9O8lGdmkZJN0BTtnL56cxNQAd0QV1yfUIvEZ7ewq42WVAl7KT86qwPLV9ahSXZ1
CLvvI01vz0vfopc1OoeWx+G51TOwiwnL0rBpq5c06/6QXdl/flfqTH1NyeKgfT5Hi4/ySy8O0epG
qfYZ6sxfi6s1H7/3tq3LiTfNwZ2i8ezGr5Caah50OwOpf3YXZGUDL32zyrg0NlJvslPXLSTcl60x
Zo+GFqS42fPBSL45yFCiBMEKXsoo2vCQWt9Acxsqec00HhdI6G6SbI6KMNGj6LDkzXGUDcIKJa6I
aXIaO3iJGos1YLCTdVbvADEP8sLe8krarsavwvKXjTqVRlKz/Y2sMOkAUSIVAv37pSoDtlajTbwG
Q6ozQAfzLOCYb2oPHlvz01/yn8RdfL7ZCA25wXR8dseU8cDCBjURJ/Vb1eZUndv1oIrqYCPmwd98
/Sn/qznCiP4fvUcvkPt5FAQXy4NRjxvMlj/YnPQbaaMKt3M1G4GRMjsOTRGQ1KFDXOP/XfkpYulz
2AYt+EzhNUDuOAwg/vbzL4GnBBnAydC6uyjvk1OuFci533psAvd9MjyWUX2X8Rw4o5KNQ1pd/EBO
LiZQLqFp9XjMLuZNog1POFzzd17WaiHAaNIJcbo8RU1R8uxeir0xxo8eWbGoeMZ3/bXVfeswrGEC
3XGK8xQjE9m25mU2sLY5QETwnvuWezgYfPCSRfUSKBok9gNlDJFyGE9a5WbcOv58FTOCbI6nSVZN
xBkDxBuaIT9HukCXu9NYVkHGuvDVnNCC0ZxwIescahMgLd8ywyyI7WcUj8q6zs5Btfzix8afBtDq
yR5LvDXNtNsmpMjMsQuuo1isA0HlGtbYJmULsXVaWd30AlLjwDZqI/I6Dfs8rm5OSsYZIStE+8sD
RPtlSxYmoBeCz9aEsi0eN6a/ZO+g/ttLVKb2Bkvkciu1pbnLEM6wjEp7q3nM7r2p9U85vkSPeGeS
k3aW7o8pEwdv6fCe7+xnzxPVgVugPEbE0d+qMkIxIdV+9JFdb5CnHUCMivyq6ex7ZDDs6jwRP+I6
eSWStMGB2/4YYvGIIKr3uxDE05gXzFJzb3nE8qWM0yZsdWzbbOn+JDLvEwvgGeXpXX8kWPJEahCO
S99AtCJasq1imZ1MFOe3XmEvR1RMl8NC6mALStPaLlondywft1U9pge9WeMdARGpkkhrJ3r3CtAf
u0IxPJXwSay0Sj4irXZhgpNMMJ+zWq9W8kqy0y13eZKj/tFJ470cuwZ1cgiTZPvJw+DVkvppgA7Q
WG7RXM4eRZoVkFuzmYfUrpuL/NIU9Xhx1ujdDNR3tNrmGAyt9or19U4EFiFVGHvbqM93U5zGryAF
fwqMpu7t1tReLN3RsM/Qx53fFyAbnSrZ5+3kf7TEr9vAB1svo/lC4DPe5jZySgMZ5COK/FsfJfcf
MhitjZd5xo0dgHVq60QeJNyz58TuYL2TCf/dIh/sBOmvFkNi1tOG9RhUeb16j9jHwBrEo9VEhDY0
Uf6R17+RFUjIkSZ1uLRu8AzaONrHiQdhuFnw2Fqy5UaI4ddsdqdlFt3zKDv/sUfYIinBM2M03R5Q
AudxpPLfOW/2rHLeGbm0PPwqfzarnqpSldVBdf8a/VX3n5dQze4Sqec8YmXaKSbyCftjNTX+PK1G
7I5VWZ2p+WZIdDqp8j9O/4ex81qSFFnC9BNhhha3qTNLq+6ZvsFazKC15un3w5kztNWes7Y3YUQQ
UFmIIML9F9v+rbu0SfGpTc4jbZPW5gdDLccda7sU7bc8L/moLpuqwxSGcOp/Wo3eZEKw7E8VILtH
/Nj+qa+HrmU4kQZULOUUJGF1k6JcPrODWSA+JnWzmf5TR72aWWQf3xeTHrxamsrr4GbGHhBR8Cpt
ZWYzusfmcJY2KVS46Wo0+PdrU2YnzwHD2HZQi3Pj1UTNf22THXkz1+R3Fq3j5eRrW6w0O03r1evW
xopzj5i98VSYqXaM3DI4WyVS44VSWY9qaaqPfuZFfPrG9nvtal8ygMhvuqqMt9kPs6ONAdFLMc0s
n4Jph8Rb8WcE4uIcYwB5ITECaxl2IiZ7B033+kNfp8RS/PzBLvrm3ozTs8s39g4nT6ZIc5JeYY6d
E5b8dzmSrWfEXT7yOnUeoR+qR4VlF8NKYD8M7Rgzw1cfkrG9IYaS3eHeG2KpA5AbFNV8NDzNxvQk
Qz+umL+HDrKTXGjvjYD+Q97W6p/oreWHcLDzozprz6SbO5aYHTKNRTLuG9QNz2ZdkOlREWTSdIhy
TL0PSd+rH5UzABhtk4VNQSQpxR8KC6rA+CMufxlN17BSBtDYBdaXeTDLQwZ37jWNECkox+IHsfzp
TprqQO8evTS7Sk0KiMLBqYH6fZD+0tZ2+odn9fW91PqomMkwjQ9tO3ng1NrwUGTJ8JqHfg4NNhqO
SjAMr9IWFUx2AUc9Ss3DlfMuqrK/kKH5p8M8IlVNVBIMynIOKTL972iwwhc5jVfO0VXFunC3deg7
7B5MpU6v0lbx3t63iv/oNeTwp+KAXmLwrM2ZiolnMp0cN1jCEwzb0hZY0UuWk0GVJqvoQd2mxU8Z
16UpGuZpr5aafpZqPDXF60RUfD1DjgW2DlBJMK8CcgUO+hyXsXOJG8ZXJFv+A7pduzQz83PN/7q1
f+5HiD8HDmnoJznf1rHXoreRbBwrm2zYo+BUPCAZaF6NcdHPqaJxJ21S9IVaPLRLEcQKcE59mhfN
J6g5/+7YOmvJ7FxKXX3emmRrSv3iYWtz4+wv1auZ/dSRt3PrJn4odFLGIWa969bWZistIILau0kP
hQzT2i0PqvSi6IBhWh3V8bg0MUNRs/YjIBB09JkznKSqhUWGG0IH79qxmo/Q9xeQzxIrXDpHQ5hd
4jAEVL1Uh7ArcQwGZ4JUE2uv0P4wvBR8W2ESYV6qJkn1i96A3G+Hzv4Y83q4hAozNtmbjk1yaety
OgQmXPm+tZ2bXzMpsROic6qihYikpfa70+cswbzwi9SsTEveljyB1CLXt98N00Ilqc1epKnoAmYT
WTnfSxXElLnHw/HPCp2Hgz5W3rsV9QqSYJFytDzPfdeYGl3UnEmdVAukXtBfY5IjnQ2Gi2cYDHey
0wfR8f5V57Hu98Nk8F6V5bO6nDRpme62npffS0dsiZnTTR3OSBgX7qRt4MtzDBtUqDzW915U9pBo
+OSN8mGTb5OrOz7hziWN0/bQRfaGrc8XJ21OodOnYD+D6JyjFvIeDC9lWWcnT8EYOh0W3cvBfiNI
YJH81bpjASrrQ0l6olOp+rULEr7uU559WNo4Mc9nlMM0JmUubjh3cwTdGR3R9KNXRpItnv8FOWgs
OEbEn73OPEutKof63TGujI7R0cbL0gEVdHN03YO+lSBFnfvhRzMSyUorUlLQaPSLlgfOPiQnsET5
nH0P0uUYpWZ3Ioy1xMZcpvPZ29QZ+d7Us+Di6QfER91ne/GDkUJPL4apPBl5/bXTFax43Gp64kcj
w1GMxKtT1i6KAS0yJnm8D+wSqqGOhiCqWcX3Nu+ffb9S33EyFMTNrjY9/y0jrpVUzNVVpeL6TBro
oqWQrXCZY9iF+RDkQbo2aaMf3RSjf42b9Gdpu8alwcbiMbTQh5uY4t5lVfYHc+/mp2uGj/2YaX9h
s3FKvMZisfTUTPOOCXlODrttgUtYyc5DXPlrsOCvw7zeBXhjfJhxc40A8v7UMoThlOcUG5NX3S7u
UObNT4VGnDZX4vzoDnFJ0jv6yqSvOvcuRIaw9UL06ZP22eyLmkCAHf2sw+9qMNtnr9EWdH7uHiaV
GGEehwXG2S5BWxVkrD3rL3M85O9DFy/swjS8STWt0BsFNHEP895+9ruJPFQ3VHA1jPE5qs2FXxY3
J1DB8aWp0AixlPyC3RMmDqldXwj61UdzoZWzMjdemfrz52dykCQoDoCgjrFCop+kVrqL9TYieGPv
TP0F18HXYGYEMhhqT4GvF7h956C+FK380J0Wzdosf7FYrX30s6u9tI1+kn1In3p3HR7au9H+1TE4
f5ih471lJfL8WGR89JYx4aKNCfOyb0QIjlgzrqZLTUVv8bXqidwvtZ5k8WuOE6/U0AMuXxsvOYV+
aX20RYXZbp6dZV/nWeqL49eXtVaa1Us7zFdTTVRkLfRLUqXzY7YUrTrczXGrE66hVnZNf+pdxUbL
SLcfR11zWPNO2Y6IDpoB0mgse2KLb8w0ZXeZXtuP6qCx15/a+WhGUY9g7VKXXVKQwMTmqX+Uynqq
rGoskqoFYdRsCC9DnxGWbEIM01yrDiEMoRwm1WL5AyQBbI5eYM9kLYATUR1bnd6zq87XLpze16rs
0eqyv0VW8pil/R9mERfXjIjXY99X/xQoYDpHfOWq/acdg+qNDzo/ZevbGo5m7JpRq3YAyJEWWc4S
tQSDRj1GMMD0gycjccdT2EOm1FI1eOJNgiRg9/N0v3gYSZv0c7EGepKqW5nPMO6IMizHb+1z1SBf
VNsKuoxBzVTO1w7h5IcwTinyuM0BGEOxHNKSJPLSFpmMnggBBcA57PY9s/KP0q/CR6l53uQv0Eoc
yZedQxsrZ2WwYxbSefeu2rn+YOP7AWKkBfRCjwpYKovjN6mENTkm9Orne6lqLVAOyHjpWarllMdX
f/BADi9HIuOZPc1DtP5habKtaR/VafAqNSsbCLEOaKJINcL7/WibSyB6OTy0rfIGF8PeSTXVHeu5
hoIrNfl9baBfUjurn+W3ZwvOa7RiBT/N5XcvwKJJ18qjVEvM5Xk0c9xu5LfZGTJIMUJQS03OFvn9
c1oS4iWxTGrN0nJ1r1RNfbNJFhBInirGarNoLqpNZijA/PPDGYtpFweB8x0A8V3NFp50vE+NNf9N
3OLLRCT0z7KDLkJSPnzD55tPPVPDHR6d5SMIjvRSFrZ/a405vPN9JbqQh8wvBSKeT3oWf0mRZ/vV
Ts6rOeHX7rjlrzwrbCyXk/GmlZgauzHoG2I/0a8rifiGCD4LAy1w48d0zGOQOEFwR4r0HI/zuz3n
xg45TuAbZWo/tHNXzLus0ni8eVP7NHuSQrHt9IloKBLZ/ncHhcd9n8BAd4eKfFpQ9QCugJ7DoVPR
2OxgsXjteAdYfr7WTfUD20zlamnZ9G51FY/d+KzhB/8F37Wf+ezuSdCj3F36p9AO/6q6LHmK4gjd
2tRRTtD01S+lFWtMWtuT5ur2R2ifSYmlX415Hk6GEsVHV0nvAsX7yXRdvZl19JcZFT+6MTRJ71TO
RQMxSpbNxTgLobGxjlMUmCA/eKGRfBtIEqWT5QJFqkhWOrzYSTV6Bz0kvVQBBHgtijMR+ZiUH6bn
bR5j/oI6MVkC7Ws1B97F8sh8AnxPj1WIPKbpAFYawMI3Te/fW99cWN+PQ669Gmpzg4he7chCBSe1
ICJmIXdJ4GUk3qsyN68d42kcv+k4nhgvRWu7lynrkD8cASjXe+KMykVTyKvBaapOcOd15EF84/YT
qIf6mBIBO6CvZB9yO198ZOcrn0ckNu3gzypz67dZ56NNk/7kkLgH3O2EREwpFHMM70cv/jnlmC6O
A9q5WC3+PUODKVvdww0waPZWH7YvJG+1s1VZ4S2wcqLyUekeglw1voD8/DFYcfm3iQomuaC/oq6r
IH+HBOuLEnGIoe12KiJ1V5z7hle10KLnCpSK1KSorFY7QZwnOLb0kMIvdZAuo3fnQ1Z5RUZFA/YX
X8BGHGO8GJ56zVTfJlKrR08n1y1VCyHFxyxGC37Z2YMufBsMyNij3d9LkwH74OxEdnVo3ER783qj
BeUJgGipSZNmWAi+tWlykwOWr8/V4MvM3CW6FJq/qH2W3dvkA2k1o/JFanhSBcfU9bHQWXaOrGzI
V7c3qXm61r1FSgpCwEGSXtp0PEKuvZfbsGg4QAomJSdeDexFlwMCV5mOSZWooBHowaw6fu50sg/L
TmUpxoHAnwJp4Co9CHUPN79ABWo7ZeCmN8RXk/U3Z9FQ7CNveptiwh2TpelvjY81Wl6HtzQL+dIV
bfy33droSjN3enVC+zUdfpV44r4T09xPhjViTZIb7+VY/gwThCZkHyFadY84pXcBMWq+2xp+hkrv
DUfpmxt6cKuwqdnL3kEl04P9unX2zWe+9yVgmHrKbl7IDAIqWvQqBeIoxbFK/OKY/NumT1G2CyoP
8W5bj16nYATl5Xtof5vnNIyMN7fojLdkVhj0wbRcpRorXnfVZuAh0kUbbOOND9jkZNHaP29II4+o
tF7s5fAqqE/A3X0E0eG2VUrnvEqRxA2jXTOMVyeIndcWbfTHMVagmesA0AozgB2NI81ZOhMRDF/Q
kmNN47f5HtRvc+QCjUeAzf+cr+7+LjLFP8LsBxiFbcorXDodi7umW6vS1pr1odb4nkkNE9PiPFcA
7Naq7nPUnJ19gBtP0jQaM+m8Llax9aiCN2mbZv+m5bwYUqtbpb+0Vl3Qgz8qRW9PTyXgkIe1CRYk
jlaDtzOcPHp2XF7zFu0se9LNHbldMsXGELxK4anhWS2M+VFqo+82j1Htngs9jZL93CxR4LpydrK3
iPjKp5ZO6KxJ4tPWZnjJX56q8tHry+ZFi2CV/eXgLTo26qsUPEcoePRkq7c23xw+6kgd71H0UV/7
wI/va83+Y+uQsE5BeaNpzlubi11ZO64nbfoBwQpkhPbWaE/3ehQ/t6OXPfINzB5Jod96SBA3qWGU
aas72fTS8FVrzfb6W5scZjXFj7r1g4NWVhkgn9x5kcKtiRI6EAJgqNNWqgogXXIx9XBI4Ki+1bFf
vvlJSXjNi6OztGVRTqwyBmIe5kW5nypf3fHs+1fpbBp4tBaoFBsm8J9SxQ4rZZg9Bl1Uv9Vz+doS
KHxA77V+KxJEbs1Q8fcqdFC8HoY7pzN7LgA7Q+BTBxKpIKU0u35Tpzp+amL3KjulCZ8xjeB94121
aSgfJ3O8s+uw534OxkdjDuXNG+sOVNAUZA91UB7z8qioQ3loGqc+aFYwAzzym5OpGM5Dn0DRiHs/
WezHjvi4fW0Mv4AP39/7Zf9g9QGK7SE5KXgJP/wuPlkhggeJxUqnYAbglVp1GSP71+zmINjqq9oH
MCeUEEy32uuHljnIvmH2kXv4C+nZbgYlvB8jBSKpz9dcsn3gY2DXm2DQVWW4gZj40GonOgd8EAhw
q0DSASn3vX6nzmjNtZpikFyAneQq53TUv7DuYrABvXAoDfUx69IrZtTKfdWV0GP7wb1mPQQ4w/iI
myFm+eeyTgbtmfWh+zZnlnabyGgT72gJJhrFLsunFs7UTh1x0kWdmPTthBuAV/bJrp35RrIYflD7
Fy1svOdFhG+CxGBPlQnvMTDuzSZWTwrGKLsi+jLP8zsZoUPUauWpsFv3rs9wgyEQwOZWTAMK8LZR
3SFa9hWExYgLXdufSifEx1XX/cc+/8VpwhtyK8YO3edh75gGmdtC0e4z5qqZNaovRsqZhyqb7ywE
Z4MQkEimYLmY6HDypuTSaEN9qzu/PmIfORwaxwnuU7eeD2qrfw1G/ANATHXHYIaioc7liwX846XS
zQ8ljqpLhlrjPTKJ4Er4phzTxmnvy6IgSqIP8Ldmfx9UU38PkODS1QgytnWyz+vy7GWjd82NqTqk
zBtYWpnhzsBNa1/33cWqFkRg0GlHc7CTEwDhH0g1fV/MRC8mWfI9V6vfA4fr9qizEcHjubEbBbhe
0rZ3GiU6CcC10JJgxd4ZfO0NG7aN+qNK9AlenVnfDQANrsoS8DCaF5lRa8u0mikKj1FHHiQNEWbJ
EyQjoqFVP/Tse28rj2kKzxdxlH0av4Be/nt2jepG/k3lS5jUaK6pt6motFcThofJY0+6166HBPyN
U+2NPIzuu7wKbsHIDCPTeH+nEF+etCuR2xuWp7fMCFk5PZoUTvSBUS8TzIQYql3V9Tm0px+uqbr3
o5u0e0KBbUgodAU74K1Gbsl2rkEf4ggRQKbRckzLinqJlHyFCJDvhzj61WQlLtmReeFb3icgVpC3
qk9c0L/rFIuYkTA82QdMOdrKeiYwou9i0GUHP27ePLeBY+Y2uL+pRnENa8bBWDH389A3+7IjJlDn
z2iaqvd9FGn37VI4JoaVDiTMNN+FeuAfzQ6kXqjprFAUp2PstZpjkCTuHlDWKSqCXwqZB5QYIhSF
CGX87K2h/NIia85H+9Ll2Ng5LpwmPSAHoo7QUz2mxw9BA5BnfmFF0u7Je1al+YitebbDDeAjjdWQ
P+9YC4T6MEEufho9Auy13k1khYNXhFX4fLYVCCVf7cDhm/H9CPJyh20WswoWhV2iwuExW4LXcxqc
bG9Rn636X4HrZwiUGcAbXT0FxGDmAA/9czhj1ahDmN91GlSm9q8B0mAE7PfYeMD5atsh6uzszLxV
9whNF0e16EAodwoGLJqqIB+JXkwQ+CQWSvdtqqbXMbSbe0KN2X7uJkTRsvYJ9vIrkeZmZ6Enf/Um
HRSo7ltXx3Zvit97NyXx3Zu14HSquPveuN59GTHMmo3CMJZW1WVGYQkL1W8DQNRz1XXf8D4w4ATb
wVEpk+lhwKvo3iF4XCwE4iDV31LHvQP/MDHLHn2u4PBtZNVOdCMAvhTHR93o/F1TQKLI4opARRuY
ZN1K61K5VbGzErs9A10vAMV5FqAbPgYnyMw3JycppRdobiEd+1ZanUuUp9AOSRyfy6k1z31deX+k
3jtcpk5t/Z+zXR/gvPMt9RaIjPIzMvp9bmXBTR8D/BErtTmwUvcuPcCzswUOFNwJKSnFZ/HWQbh3
rIKgh2oemDM+eKM1PKcDGkUONcRkkmNrBu95pth3W1ENhbNWbWb+V7uGIobN16PlM3f0Bgsco5sB
9Kw87+QHvrcPPdTXNIa+PUvmna4GvIq+adzNdUzalNnHrzTXj3mQTDd1Rr4JoagXLQ7+shaHKKg6
9+gWy8PI6owP8VIs4jlmPmr3qlm3L0PfTo9tvIzc1LwyaF/qiKluVafnMnDUcJ863EYwYVelZf3R
9SkzDyv6kqQ6Oodm8WwZo30a84j191L47sPsdfDQWi0+Nt1L6jTJLWR5cEt9JzoYBQQA2NjRnWWb
L3pgwN7wRp4o7B4HEFfE9+LjoNQvMwaVBPZYnHWLwJmWXQQDZi8ZaajCwBJNa/G6AoH5b6F05It6
tE0LD7sMI0RSyy9BaoyZ1xJmwa/BQfZ8SQQos37UfWxdMdyCI4EZqAfHOuhBY03BMLHi9DmW0Mg9
gtJXHtTirjGnZzWcR6gdvn0YUaXZT0sVmYJp35vcLDN1AZo5YQqvpEN6ctZAF3lmcQci4zJMMFKA
Kz12ZveitPg/5WacHHRMNOe9YObChcBvgT87OsOUwymY3ccx1TSmgl325JGau8VN9WUGbvSB1wZo
w+J7OETph5rjEuO1v9zC5+GWKIGzhArqWWelk/JAOZ6rPUgx8QkDYOUpB196owGOvVoppQLY0wcp
MNW5eZPT4Fr5HtVBfs3ikiF77JwDht3AQ0gpAIIr5n2BYlrkFDbvhb03GfIeBg1Kbw1QAP+14ZQ0
/D0kR/yHmADrJZnDLyFScIiPnias5Q6OM0JwX/BGALQPicbdRf83VfZpX//Nuqa9a4fsXI81n0lQ
gYmDpbWaQBJq4XHW9dUJ/yzy0viKhDyKnOOrngTWJR2U15kgwEJvVc+VuRgPxN/UzrjE3hiSrT94
8exdw8h6jEml7VMdWaVWzRH+M0CM23euqU/3Whq/jyqr1LAKkFEMoQwvJk2Vj65N0vD3gAJ9WRUg
gqzuTjYJb7Bcpb0KR6TT393gaG/Adl2ksZWJhYDJOK0tuPo87ZtDkdreMywA50md3mcQfM8GYAQ7
D5pTFSdfSyYGyFdGQCtLkqlSnVM9Y85XZgA0FeWcdG7I/MlIgb9YhzzojH1VFv0FdkTx3pl1cxlh
i+ylqidOA964tvALVZoHpsv8P21nH/Qy+DXZynQu4nS+Q/jjuZ8Be5uunTwFSLk8BY1WkxlGCtPp
nfRo1XZ1LqGBGwHsDCVBYi7j5y1MDXdAKtgJSTIWwc6Zx+zIKvrJIM7BKH7IsqcuBCz2PbffMS1r
r9mCmSkXXF0IwuJqOk/RghutjUm9AowIFySpFJMefVEUwz/G/zZJu3TPlteuvpUB19VrodPtsiKl
FKBno4Oc1uoqOPinCUfIixW+xw1IAf9tbIL0FEDntVsDbtEwviFUjrohnnerroZghAQ3lJksGNzY
Qcl7EdyQHZ2fQpIcf0xuE9zAZVnzkckqv0Q25Y22KrhkF9lMZiJIsLD494a6AO3rtjoKQqVynhZI
IXPZ7Fb0wK2DBq8Hf5co2hJHoDUAi3Ukq/Kno+SHRA1wyP1l9gMo5uXCNcsZZWvDJ9paos5HgSpK
4zhnU3aRnpHTcmWQRQz+Ob5dTiK9tFCddraTpQf5lQla0yRgET5bXP3OQaOeRWHE8faQ3IcrGM6f
3XL/RjNyLjlq1JIDliKR6y+bMUtkUloY30k1y6pzWCo6/jPLb8rBfQZ4Z1zkT8rPwHk5jKoBcZK+
Onpl+UuOS8cAjvlyG9c7LI2Cl8p9si7WQhrd2sZS785IreDJBOhjxf7K0wDtlgz1OKXjUdXr74IH
lmIARt3V8OuIpyI5klWDjRlR5aSM8W5zlKT3ivMK1eBbD3Px6DUhd9RGQvTUJs2b3Hs7cZ8G4j6n
uTYY1q0hQm+PqTvpreKWOiz/2hDNtu2mgR3WgVA3wUFul9wN2Srx+Ex2silPgRXqPnnlbucVfX7D
19EDfSabSwERgWdDOVd4vTO2DMkMEAGYM1bDGIH+tilHOzhSgER2jfy2bs5pDxrKji7y98amIUbd
HOI2+TqP+k2u3HqVoJbuCiudDnKt5aokbcH6v9UQX1kwAHJP5AjZkrb1cZC6FEaKY0jThUA0EX0c
ule58eujKZdmexpkT03kc1eBYT/IpZAfqfc116cNCn1PBJ1ZrlX9aBfbEOQu1+tr5k4/A7wyThmz
AZ66N63KW5i24SmfITq3+vSqL0OHfLaz2HbOczCDBMaOb6dC50QJt0FPyEry4v/6w7/9BtnE9gqy
ux7qa8/17qEmg0Npb+gHGQLk+94hN36xAWSNrylc3vXirnCK396a30AVn6+gQRqviGBNzs3JCHNt
PsZu+E3pMvW4XWEGwZvuuFC6t8FF7Z8zTCxP8lt6v3pK7Vk9odHYz/smC+/bQVeAeSzj0PJay5Gy
9T/bvK6cEQ4Ik4M8CX2cnpjCsHRZHgR9RNrJhGO9PT5LB7ua6WDq+wEJtos8wWNnDZcpt1iWVMfc
GTA+chdw5f/8u3aRXv0QrLCXG8AVFkDK9uzN8YOrLwBGo7DrRd6G4W0ZluVJkurWVhD9WUYkS5+d
o+9UA5iV9NkJFMZI6S/F9rb+9oium7J/rrzh4jXmXp6E9RBsBc7Kl7YhQSBjIQv25oxC93V7w7dn
WdqkGixPodr3pwaQ3jl0opPsM+Vhlx7b8Z8fQanLXZOt9Ripr5uf9kv1U9v62JaVbf8z9GArR4I/
Na8BXLldCjymSAG59TYI5+XDoXsQTQOdheqkn/ChIE/PvEDu+GDrGIM6T/ncvjjMDVgf3utELGa1
wGM7eckBpQx1d2ctWNV5LF/ywe1OpjkzlWh09aAGBbGbHoGZHQnek/AOpnyxizTnoT4EUfnkYF68
3Xj5q1JdX6etLo3bY/LpkGJI20uP/aA8jFLUy3AtW3oCfcmM4TzJ1ZeTFOAZJzArPHa9D61+L28J
rHZaZfO31sE1/sgtRJRk3TLhGnyEVPenLVyKkAvWxUp6JQ4ONSRe8A1jon9EPXB3ZEyOco2lkNse
L9MThHJZI0/pj3zSb15sZCd1Hu8Ss0SgzOsuMshojNotnN0S9dxDWATrF8Bof0HKz65yQrnzssVI
3y5sGDsafs2D94xZnLtilv3EfvPxPDvl8kRsg4Gqqc6V47bfp7ejdugniPfbVSwzh5E0WT4zmZtZ
B9+CLiSkEngBf4BLNpiJe8iPShdya1BODHRRRs06rjpmMtkCr1udJ9e5TgBzyOeeoUeiURzZ+wzH
sHV2ta6iIi0oyLnp2joIw6V+rI3EOMn55Xf5djReW/1pNvL2pJrGi9zV7dbKVt51P2NjinZjUaD0
D4X8nwXaNnAo8u2X+jqxY3la4kjD8gGM/1HL7Bx2fpsPDwiymxegadVNWDtD1FU3noW/yzDL1vsr
d2IbY7Ybwwf6rxR6pjl59cGCII0shmPgcFLwEriM4AcUAo8ll0zujDzWgUrs0QIe7Bf4hvw7mEuH
bUTf7uT6QC/j/XYRtr2yJV3+36dirjbCXnrYhnr5MVJd5+JbXbbWxjnC9oMJLcIMMtFVOvui4rEo
XeTPrlMu2cRhk1dt3SSv/Q+sfv1Qyu/8bZaxHlvm7h5YwD0JQewx+NDL/JXkCKFreU3mAjmYfTCZ
39BaIZ4c9smlaMJQPUr3ddNfvqARYJAuSNd5nDypMqPbiq1tmjNSDhpKkRowsWUSJv/OVqwoSan/
Npddf305jzBxHsYCXbee7QZ4+skmSzXv0estSEL9cOWHmPVNd3X1KtMymdTJlhTrqZdpoVRJBKF5
HUAA2TpLl60qW1ux3catbfsbn46N8o8OoQ7GMMZMGTg7gAD5Rery5nHFE5bxy/71x8+lVuwiZVB/
m0bKLVyfvPl7ANH+Ko9rhJIuoOnlHoRdh+SGPCn/fVOOXocqQDnNxS3Tw2cqSABTZFvCfeKECMFD
9m47tjWg7JBi6yfVwf85aHV+XX/98iSvZI/tnVnnM+vDLK2ennfkT/5972Rr7SWbn+ty0HrW33p9
/gOfj1I0Ehut/a7NSM3KuLLNHuTY/9a2dZG96zxbNrdC7sdWlS057n+e9bfljPSWjp/+1H9r+3TW
T38pWAZ8jObqLoTRt7zieDiTq6jmda0qL7wUhFIgZ0IjYvG+hNm2YmubMzxBod/Rp2oNNtdOMtzK
ybeuv+2RTd8MQAiRgl+faHlZ5D3ZXpbtpfqfbdth8t5Jv//W9v97Kn/OF3J/EYP2Gw8uDm1Ma5e5
sHy4tmJdyW7132IV/637p7Z1PbGcdv0Lcp5Pfda/MCTevaYMf6udF+5laJA1qGxt32gZQ7aqbG0T
sq3zp7ZPVenn9wgG9D+1GkmEpLAh8vFykntneiuP8LoprVKfCWWzrM6q7KR7xds2vAOmgja+1ZV5
oZFLXUZ+5kIBESUrs9w1dOQHVjvvZXgg+o8ka4My8D90tXXQsFViCDK6FOUMCRPxt8N/G263R8GR
Rf/WZ3sMtrZPj4tUZe8YNCkhCxem16DO5qFz9HTey/o3AWBAuCgZ34N2iE7rGy8XZSvWYXWry+X6
n1XZsb26Ug0IpPwzfEv90xmkbc4SsBNawmu0DfbrxHrdL/dnO7LBq4TFW3a1CIwYS4Tkt5Xj1k2O
lUImBltVtj71k0F0a/vtH5c9nw4ZvEo5zsYDqMDnGioFrgHSg0i5oYHkWD5cJY547ZsMXX6WZNlF
rkyZ9Hl2mVVn12SOdZGXfbuj67v/WzDzt6nC1lW25PZGRU9Eb+20BrlyB9ETI46QSdHRyh5mryQd
g5qLNj3KK7rGKeUJGGc9bv6QF/mfqFatBkess0mdNCQH8zy7JkgEwxKHtCZF3ZCt3G113woU9M9C
a1cuusPObGFAxoC8RT4sXQvOpu7fCWfbIgEQqWjXyFWV+1JnUJn0qngvY3gmwifXlxs8t4jutGs8
89Pll4v62y1al67rVZc1i2yur3lEcnL2zOkoV1n+7FbID9iqcmE/ta2rOtnzmcy59ZTd27+kh6G+
t7HW22FjiFVckPtfuiIezwZCgEcdxixVqGcIkBZXfCbZa+nkzgwHmZ5lr+cB89STBO+mOniLtOys
LedQkzp7KIO63UmvucvGizKX5kHtM0B6w1DsmohXXQovc8297QHw1MAU3aeJe1Kj0MqPSAZhuMzK
/khUEtTw5FwbPWie4GSRa0Y0FuJ55uBeFKv3qT++L4j21wAZ2Ff4N/UB1bgRVQ6q0pYheJQlpCfq
ERWI2K7S19hzUBY0u4cpRgvBAbZw0sntnz3Ln5/TqvkJ3/HSm1r5ZcxNXLVS/1teMiWv8YG/+YEK
Ujxr3ntvtr57ROvJ7PoBCQetRR1nGHZBU9df6xlML0vy8kNXU3uPog7wqgjZLrVYbAFMQslzblXo
N6nqoUIiGGWoEhw3RozV47jsIZSEmcCAo0CYaOemsMvHeUqqR9mSIisKB92zPEdYmCC8VcTBoayQ
H/Kn4U+T5Nm5VRcpv0ytDOxIUOI4LAHgneuzcouLGNVrFcKn4WMkqqJgeGizAkyQ1w6sh5vCvYHU
IL3mEWxvUf2a+il6HpYCokv07KvJN2Q1las0lRkm3eguospVIHxmWGRrnOC5QQ37WSUT+pwqmraf
xjFgBcGO2PaAVqU21zLHUhQP2d00DN2jlnTe07wUdQZsz+bZgl1Nj21HqGfpXisdXNEGsjPmhNnc
OOrowvh/TUk0P6410Bwo/zo8c9vxVWR5T6jMRPsqbHfonhpHR7PMwzQ1ORpvgOkLQzNvtgPUGVir
dtBtPWl3WMEjg4EDeOmF5f3/Yey8liNVujT6RETgzW0V5Y1U8tIN0a3uxntIzNPPInX+Uc+JmYi5
ISAzoUqIgmTv/a2vRmp3bpfF9ybX5y4tiaEOoI1stGmVfixmMzPWmmloR7kop/A/jaWolfXkoXL3
ooxgM1CDJxFQMOrao3hPh+LNIJVOXThyf35bJnpmKhOpVihrKDFi/k268zUqUv19alOqFQDiPIVj
Ttk1HKy7WSOXbE2pdardQhx1kXT7LEvKK/8CDcl/pz60o8LFlWfmRTXEUwM16OLG6d1g1y3SV6V5
SASJIwfY40Zuyg5Soc/g14tNM64Exh2raRmeaBmmfAm1XMt+ZLBpchRkt9wz/L92tooPJ5vNkzxU
05ra1fGiPeIwnDpzsGhbHji1//0NujD9E0Vz+nXcxpi7u7bvNoUK1mYdYLEswvwRo8KZoH3Z8q5s
myeEFu0D2nNxJXR8kFsY7XYPmNYhhspHYE3LCNnmGNW/d0rdJ9WFx4VrIIXayH6IWCyrCgq6M/w0
cW4GwspVBu1EdjiQLA5gMFOq2TgVuql0O2Cb2lpuytOTZ+ryqHKoCVvOjz2OFLrUy0Qv2dnjn68/
J0uLYGeXDZqz5fxBnaYiL588/Om5ZsbBhJwiV+WiDmcU7t/b8mobOxCSfzXKbtnTI+7whzsKZ6jA
C4cVdV1YKlQ1NyW9eWuaMNoLewhhvEf1R1VtZX8yRM0206E21bPiELBWXNzCiQce2jAOz/2yGFK4
J64R7P7qECLDTuYlDOxkg4QhOVVjjofhspBrss3kLRvLBhuiWqLFLX6D/8dAucvX6O+9+xFzwP/P
Lpk7UF+hart/H6brSyC3t/FaqUQD1//6dnK0/JCprPT2nHWLjoK0o2l1KGAhUl7iZVEAmLjIzSkI
IBbGwYB4XU0Iri/dlQq5fPU9SK7hoHfiwdeTR2bnxCWqElW1hyfGpChH58WiFB+ylOz9165yU35w
B3V07wAC/9pVftpfe+S6uekrCjT+3bF8q6lKEDve5tJ+y7AnpXJpdrNTN9XZyR1jCk40yJt9Tp5R
JVuxSctIe1SraDi7evOziDT1cbBL9VGPmmvPDfZKbhqlC9BBnn7CgP/lNJ1+sikteXFzDkUyp7pk
0Axe4lp5RY8c3slOswovQZnY97KPSuFNhqDuoVhGjs1LOmjmkxbE5bOWHuQQnjn5o9q2yC+vUZNN
ZxFq2WVcFsD99GFlpg2rdjuvuGdTjbdsyjEITUnkBO5vNR1wL3WJXaJcyl5yr4GjrRndWm4aoh32
Bq6pfmVaEPFXttWLB2ysQBdZo76JEVS+tAJbBBW93m7RV75QClb5dh6Y+xHLzPvKHp8ooenfrerH
7Lbuq6W43TGvYtBJtt6/tzOFFKpjFfdAdGDpRuJP6NjdOyVbuj8nuIjbbfCkUXwGw7YbqPdkLYm6
zYw1LHrh/zQhi/yn819tuuVQFZvP52rwmg1+bRWEOad8yhXLPrZZP8HcFuWTjmL6Aev3lexUKGN7
ogLjFSWvepFNdtCSX3CHaic3R2gSB82b0rXcbBLXvJ/J0sktecR+UC8qrDcdRfQpnGbqEkorMk4N
rBhk0U0Ahc0uLgTdk96nFg+sJ2jZTR0MzlH2iC7wNqY2WFx3uJ3MAXcegDHxi1BrsUbjEx/lphOr
NmUKsTjJTRsjInwg9eAsN2dl+uHyzL/KrUnk99yvi3sjob4nGMN9FA/KLcs79RIHyIijALuqoajv
KfTZgJ0Qt8rrntOkU08UKww3Xe/4qSRQ5evUPcsBsh0u4rZSmvwqm+TChHIU2wgYml7HcLXEPTa3
w5scniBHuy/MW9uWW7d3awwLmw0Y8+pkT055invEcgssuDopKou2r10ws+rkJ54AOm7H7V2kOViB
T9YThLDsXbVqbwM3s9rLTTQ6lNTr5UtljiApDUEtwTJME1OwgulHVU0x4q6sdhSK19k7VdT5Djm+
s9XJfbzblnEqXMV6NKPcuVSpRYHFMqyb1N8T1ZIHHm3ahWmdhhsRa+6ymLUsWBPBa6nf/U/b9xC5
Zind71ro2u5/21/vKIDp7eSuGef2Oio15dKlC/qOqi6TJ9HvQg2ezXGwX1pnhA9U6OU5jwwbsnGd
URE3zK+idm9y6Ghk5yY2vLemLVTfbRLrklUeBixNAy0FLuwzcqRPBfjVJinXLmVDZ7XiR+WOyY9e
o0DMMtz2zjP78KjYTrqLs0h9hKrSrOThnflNrbz2sydvRBmRmcBhnIw9MdsK6m5l3Twb5jg/dwew
pVas0rwpIePCqDpX3FPPdhX5ItCTYwOc/J+OrzGyu/puRUdC8TMYf1+dQzXxZX9E3eNZHi1xXBrt
Gjlh7ZiHr03ZrXtaOm75acdfI0NNv1lmau1Ue0C7/X0IyzFPNuXlRyeylE2mlTq2VIOzt6j3PeB1
0541w3S2dppP9xM+Lr7o1PaZX6NK6Y/rfDB3vsHmUf603pM7pExJx9La3h7trjQ/0SQCizS5z3P1
8aPNUweRSjhvmrpuroneNXvTqIdj7HYW7r5BhS1B78DHoliVGx/KTL0CixWI4D0Jx+c0NpXfCpWW
Xx+UFxqouNL6NWXDj0hRnDfNbnNox9r8GNmwwZmihHdIqN1dvkDFVSXITiJLrB3hgOzORQpEjXNr
ET/jRmYHc/TODfgD8aHySw/xQaY6iRk2k/A0dM3fOWRkvRdPIdYcbfcgemqW4RS3T17HO2Evau2O
uo2e8hwcltBdOT7BtSDY67qBB9XoLEgDNcMtTuvzk1xznIYUIAiES5+CdcG/5kFzBu+pyLw3bUqU
iyk8j3MAvreJsuYoN3sD8lzhJP1BTwRgKo152aGvKHUrW9d7DhGkr+ohUi+iroLnuJnfdSvUr3Jr
XirAHd26k0M9zTnFmhXcy61IhLsuq7IHs9SD52Aml1ha7WNlOM5zsBuD3HlPeFTuulHtdk43hB+l
vmuGxv6oqMjCMqdu9kM4lG/Y3K2FFbsPvEeeMXkor02gAM8PEW/0ItJWX21LR1ySccZZd1GyjDtg
RxM/IsBrRmz8lnaHFjC1yAn75+8BrdEYfm331nbAUvDaLwsujMlv8Ub25absIGFbXtsZty0sq08U
O/HJYV9T3YDh6IrYXXk1loUNivfkKsalcOr5gSjAW1/F08cUL4UeHXoOOFAg9zL9LZmH6WNsYms9
Lu3x0v4/x7sgl77HB27AcShPW7ehC/DtP8f/bv+/jv8/x8vP1esB5bZnbszCStYDL+y3apiam+6Y
+s5e2sBlNDfZUfDy+9UmhwCKbG/V0vavfXlygrNSvF2i80yUC2tRW3p1q265MvJ/2lTso73C3H4P
k51j4nmrpkFvEFZ3St5ZCCbRfI1aM4Qbh9+6L+DY+PmolXdyMZr8v0rxoq+0tt7oUaqewxohHjcp
uQGhXT13y0Ju2oaC6P5rO699wesarMf/9Mr27025h2yDbXcqYgravpu+jvS9nXHTm0f3ruJ0/RDY
f0Ak895T9ExcVFVx8AK0pProPEy28H4YAOiIFnrDneW6GI6m8FbKTI3JvqImRnh8aCtla+je/AqR
Ydj1HFUCT1+QZR3kZ0Q55Xyi7qwLTtjeNeg1El3LsTGvuNM5a8/UjVi4DhjGVm+78ag3EczuxXBH
Oup8metYUYk4l5cv2SEXAlb3xqXICiW6cA5mZlbAdbrgljupcgMQ3fv63sNGLJ1nmC4G7Bgg5I65
YgqCLiYZm51S52LHyx9YfONPbXYfIEaG1zjBCT7tO3EXt0Lbq0mXH4IxM69RqOOJoVTzSxZlfyg6
zP+wc4Qd/FExTehYWP/e8JPZGWMfXuuybW/lsjBUpodRCS5xGWDoixSppWTD6qqrlqGLB5msbgav
7K9yvByGwdMG08gJAzTgNOniyU7JPF6yIr2FwDrwVWuze6BDGERYGKMZvTpu8UFrrlbYp7saac0l
zRFVGKM5nx2XymLU8fbJyYf4UIIyPnlmbB0Ie5RHb5qHY16P40FR4+qUGyXGPoGIz2kbgHgaHPec
VhNerw1BkrhPg23SdSoODGqzdb1yROgKdBkAlLgnP1FtssTpbwG0J7jB1A5yx6EaqBbice6x+sHc
eXyKLfDIvbkSfURQKizV55Yc9DoaVeNldF1Y3nBPX/GeEas6nsZLgA8VCOoi8+spiiFhwY/j2YTg
I8jmn2nrbgL8yN7IXrdwbeJFaz/Hj9SS/oltdf6ppMZPAr/Iy62QQHno6tu84+EcDOZOLEdwE/w7
qAOrsHgYeaGyJyCdlJj8LKlL1Hvzh0etAa+A+XCCjTreNxipLzT+Gehac/GsqQeFzC+AN6Nqn7ca
IBngfeM1gdbCpHzcF6YSPwWK51wdDTWtNIKPTIHkzgqGvciG6c20eXfStPDJLfmlaFNRgg1Qx7eY
AsBNWA1iL/fSk/TQGIN2LBxt8IkllkcUQQmvqktlsOVhyBF0q68mcwKIKIfItb8a7aVHNv6753v4
mEs+IR/wfRzZVtcuOjQSeOscx8CrVXVYOXZK/9JjYHkcAzUHX8EpyeFtE7ccUHosmxDtvM3Ulfhc
Lpu6OSFaMq3yIDeDrNFWqBOTFSYPiORsh5eCZaEXEX5PlTlVp9FLaxwsWJOL7zFyTbbhNM7oVqdE
aSioxvp/7DcDjKoQqP+PY8vNvz7awUfgwExo9Vfb9y7y88e4mo959tZOUfTEPTdYlYljHfQAbYUo
jEfVc4KdMUTKei74NztemdzbdbmXW3In0/Aeuz73Lpal7EEXzVevb5EUdkX3KkanXhmDE/7oQuUJ
QZH3y9S0beFyO4ADvg61Qo8ZAJS3z5M/BDPuoIMkP+u4SXjstN3bYne/Tq2+uhDnPqlA3C8IBepL
odXRFpzpvEpNtb58d8heJlj/jDOx5Ck7Z632L5TI4Ny8HEHuIgd+bwp7dFbO0JCz/O8P+dehlTFF
L6QHLxk1qgAzlw/5PoDczAZ1T/IrOfruoDjnfgwxIMI6FMcXRURISHTn3oTkeJ/Zy91XK6kwMCP3
qw2lL5ZKmbt3CBVcHBXjkkQF9f+1ubTh1D1c4mUh2yjB1Db4opEFWXq/O+Q42VY3ar41B1wB5GZn
G8UmBgvj98lEeL9ufsYIF7xSbd61cEL+Jqrpxal4aW+mNngs5kL4lIqJm94n0DCdMb9zDaAqCRC3
y2SJYV9SVQvBMaZmH9uqg5V5MEGWu/jgqPG1yNR6m/Oue6/C2iViQPQ6sxqFwHqZP/PtojUxb/c1
tSGgWLNpfuAp+ha0mf1ZWcFRJZAZQsJB15Q2KVPp57LqbPB9BBlIaPR/xsk7B0VRfhpt8kMxiVJz
t6SAnqohyxK4YZmgFiyQnvmcD89BM7QwzXmBkL2jE1WnKEcKKHsLLDzPgZjblexNsijH8xKmnOyd
Oju7Nor5kS5HIuNR3GVN/Sj7EtMl5gRoiTl5fFd1qnJNcBJiPbTm+E6uyYWah++zrtaH7ya5hhtq
5Cf4+Hzt9d2rOrmzS0hErWSb00bgJt0W3Slw0PX3uO/PUYf80pqlfQxmnbFzgisVSqTHMfUqUkQB
yRMt006e22snFR0VmvVY22UzqBjZIRejCzVorSxjGkWZ6u33PlqgfFZzBdnuvw/z1xDLSdCQyYN/
H01g07EWzlT5X8eV3UGW8BF/jZxtRVljh2X6hu0hBFsOrwwNEkEUrH/tKDu+PlJ+wShXg61nmi9f
bYb8Bt8fPnkpl2Dg9OqhjTr/f/2bvkf/c1ztVx7Cbfj6DstZkGt/fdnly319J9nz9aF9ld8lgF2R
iu+szlVP5TJMDgjMhjCPXJU9cjHJ0y9XTbcH3TD89MgIXZR+2DLbwE5tbC9tGtfrBgOLMEZqFrbF
D6tsJxh61DQK9WBHwbxzvP43ZbmTnwFWVONPoadYR5o2fhQefDBv6A9R1v1q8sDbMmc6uSBM41qP
fc2eFpSt92krWGQn/UppuJEDmjXB4bseMcYWdyu3SV94z9wjwns2W+GtBD87uB7TUxPUFBf3z1o4
cjBkfhCx06tQ27OToL+sqXoioLPJiG6Vpv4jKoezQtZzKrFEnEAwVEvCr1RIOqTofffoiHlN9dJT
rGi3pkuVezXhlbfCz+i+Dk4mcxHs5ZamYRTIpLL08tWmYeKymsshP3zvFRLJ8/MG5BK+qcq97ECD
9qObUVzVnUDKOT+29WObmcP9wESocxpY6AWv5MNMyQjwsoQvEj4rFSYrOORge1D3DmSHblyNSE1N
j3pDK7sKbcQBbFlMWXBrBnT8eXlywsGi6p9FSbR4jcZs3OolrDHZVkBg2M24rBEw/U9bPzORAGmq
72pc9ErXCu7yZQGOwquc+r6zwTVlHVyckTnM/bws4syo9u7kTCu5yR3EuE+gUSAYar+avttb23yN
rc44yiZXqXW4ZOOMXWhbbmSbXBh6oJMmgtkoh/zVATHPmNqvD5bNll6S353K4iA/WLYF0bCyvc7w
u6khY718SdkZp2pxsmwAhEuTRVj96jiKP4RRciurTYkg+L7TtPhGzvzPGNfBYdCMCyDy7DxiVnUv
F+4M6x+slbX9bssmUWDiBpk/VZVEQdIYGHhe98fUSq17gv3W1759bG/mMsD9KOpaXLRcXtqCDI+h
2arc3dc2Dkn1tikzc02dL/1RZemnZfKctO7d7DE7EHNNrqjuzXvPS5U7Kz6Fy4YRJ/8sRqt574la
HiczW14L0fvg/kdhxve4MYVylM3ceuWBHLW08a6I7zG8669VOflfV9RcxSG1xt0KKnJ7VzZ5eDMJ
kt30pHysgnA8yWFywZRMX2ELVO3lphyrQVn3rZrKcbmXbENRkSFJSC+8w41rTw29+6wwvHu43PPR
MPqPMGighCztupMLnKSSVZC4KP/lMAiYBzL30UWOYOZ3r8aacYpnrr9yiru9Enr2PWJR5x4HsXqj
RS5eBuPs3MsOrQPuqVYkZ+Sm7ACYYl7rjAkjzhsK5NioI5VsGGsRc/9NhXX+HhsRO8XMrHV2mV4n
W3eiYgKcZXSrUEP42LOkG8OBjLZ2ujrYGp4BORx+yw3Uc3wzuxZtqJESPxiJh7pGhqnQ4mUiF8xd
ZtyycPPU55HZRhVih6dgFhIspL4A8PA/a8smfL3XosPLD28Nj/q7xVolwBz6KNewa87JXx+7RSXU
LyWMck0uBlkouSx4qaVwUjaCru13nk7Ge0wAvpTTU/RVeLXUeatMu5s3VZ8Js3S8xS7Ch+8Fc2Sk
DnI7l6oHYeav5iI86hclTbN8BbyJUB7ZUn9k1YDdoEESFIC7e5QLve7GGYOjZuFv/PeqnnmfcarD
wGgLsI+yW4gZhahcTcDOgPxPE9IcgPNJ2kHZ+zpj7oQFSQpnJHFtUojyLH51A3s5LVGZHewT7A5Q
mCFfMDfKZChI7PrfU2/+CqBFZGW9G7H/8i3tMcTX8Vj24s3htJ5i7MC2nWZ+RJPpbcalqjblMKV3
4o6Tb+Tf+3225Zr8D5DDijZmyLlScEk7qb3uN2lo7juM2o62UVYHm5eEtE6alaL2u8G0nzP+assa
Uegj6lD5D3MJaA1zchcg/axYftIgYl5EacVSce0s/yy5lgNt2NRgQXjuCu3YQrYIa5tEl1FB4kuz
8fzXiUGizHmzvRaEoqOtFSUPiPcTcKsj69PMI2VjWOdyaMZjG9nD18Iw4/EY6MuZy6ePXNPrI5Lf
+ugVNdBxuVq4ntA2clVar8o1uUidoKbayYOGsdTOl4sdS2XUCHSYdPyvF1blOcUhzgEBLBrR5c+U
C/kHf2/2uQFZRsM3M1g0TPNSoyhPRyk1p3K1mwl4Fbkz+d//GXmdfm/KNU8bsLdCwMvNu4QTyMJY
yv6+F1ZvRrvetE7pUnsvrwO5iJfNgRTHdo7bs2yqAgtzh9BlNiJtDYR0NLAVwf9XlOVDprUN7qNG
gQZsUY19rTq9PhxSIF+I5DmnCx+iNrExkAu5mcRQiLVY+dMwpRxOGEN2q7l1BK4oSjKeHLf0DWy6
unKcVmGOtW6EP7WvujVvMboa7Ij9/PKy8UmrFrAu8xF8Y0sM55DST6TON3ou0I2ml7ysoxWMMhKl
cxWdbWphLmHQr8m3t6thyq+5xiOi8GrL96CsntS6W3PLqEihE1ms6v4AbmB5tZ3VG+p7fT8POAjZ
Lp60zmvXdMXWJAlDFXsv8GJpw23cYURpFitF5ORHKBP0eeBy00juTF2z15M2KZtA6bCFEfoW9j94
uvnZMLNDUVXE77AkilvzvR5qPAunbAt+Kd5YCP3Krj9HYaOueDiiTI7K0m8RZET9GfAr9SQJKV1F
JfUaJgRV0FKtgbLF26FePKI7gypcQhQkp9dzpQ/4G7utX4GoaF1ijWL80zqcGFd4WKWw/yy8czil
yTrGYCsoEhWuKRalsUa4WqiAb40EOj6mmbX4kwQoslUqqdbjbLm7ANaNUnX7To84CXDoYtPmTJsR
WvF2MKmLGV48dwldYgTJfKz95fDoXu4tmgY7xrEPRbozlAkhsEK9fz8oO2YU85r84weT52jjTuj3
K8VOYRNRpuPOzD1NtDkueDTKN/nDw8Kb9ql7G0Eg7cl4qmeKaXHPcHFgUAv+0RUqXTTzfQgw2A1d
Fa+t3oQ5heopUv50Ad4yzXhZriA9sbtLFs2/LTrXRcuDsuYlW3GCa6n3n3UOHUnnJ7rWBoFZ0zSQ
b4wcHHPUxPQJiJ7LtMUB10YnhoLbzwgnGCai8DlVs7XdLUgRWMurUe9eA54XPpTXFb7M+IPmpHBc
PsuuvRgmxCzWVOVMEL2sS18r2zxsg9sEcX2u3Z9VhqteqIY/JqFsO5cXwUET/jIBFLYRnaiV21pe
9EuBw7oqR7yJtXF+82oCFgQgNeW3g0UiXCMjPhgakTwvUW8QF9y1MWV+EImnSXO3GOFSPhJRiqWY
KtlW3pCU9DOttX4712PvT1FWbRX3JVKKYmUlebBpsoL4jCi2lq2U5znigENHZDDWtLtwTDrQlNOh
V3/w5h+tvckRm755bFOsWhv8uojnb2yvetc6AZ4FQJJrYHrciRcqcg1gR0m0xsUzXzEb1NYz/NWV
h2HqqpvGfJU40d4yFXUlQHbZifkCSKw2KZIE85UxP6pVv0hwX3Ehhqpav9eM0KJveg098SMI6wao
U/krmd9mPQW+lkWfFOfmfqs/Y6H4LKiXJOsCLXU4eSBTl9xGN/auT6xtnHqHkBlFwHag/yF8A8LE
fk8G61qOJO0z72zqDMu14WKozP65pycbgetwV7XnYO4xkC2mHfa8Nu6yRbSffuKcTbz6KS36D63H
UF7tpnszYebfzwuutyQQiDU6iT6TO3QBZLKnZhiwYcg1sW7KHiBY8kNwklZNhSmwYiiHamSSFZla
ve52nHvVzxwC/lgKnIxq2+RWcMPbsNuQ2knWY+0822PuG0XPjUABQ5tlb3jcZ77mkfBumy5etW3+
Sr0oIseOd+gxjfFLonrTbjASXnxiqYweN62SvQDzv4FOc1ftq7Ah0NVxiu5+OLix/qtU0l95rH+2
tYFZYAOZX+Udigj3rhj6aevmJAtijVp2N6OOKJrCN40o6JgD+xum8lFN6mu9BKqKaUnE/jZaB+uF
gS8cUSrbCnMF967ZjIq9yJ2rOxElq7i0iZYshbp1OB5KjYdCTo2QDbwP1gt3TTtcJ9qhyeM7h0KM
VZWV1zwt/+SGc6hr+0cb8+I1mveRm+W+qWZ7ClWIBwUdfi1DgK7eHY4dbmYhqGq/pgJ90xsJRJ5B
pL6t4EavK920Uqxi9AND+XQhG0WBoBA9NjYmplJ659i7aWyesHkjDZ2bO6IAO2smkhkVz8Wobk1c
vbduZFM/TM1KbHGZKeWbp5bJUazDyF0YYg/CiKCNZy/T3GU+/JmnqJk/y9F+1cvpJuy1ntv11g7H
ywyaM7Uhz7X4T2q2fSnBWLtlC2ew1Mmome0hDQLKtO3dECu+G+N1/z7F1YcXZk921Z9Hm5pGdXiJ
umzfUoOTjlwTSdduQbKBphHnCHAgBW2A0ZrM8tOKN3Cl8Y2G3ydUeSvb1205EMSdYMbBhwYagHdF
aH1M3fiBN3W+cjLluXUB2XSx/t7m6ecATs+ox3f0Zb8p26Uu1tjNIj70Zv40ISNfZ2r5UPXAy2M4
TCKloprz8WhiIrYrSQNQ82cQO2rnHQlIYGrtIez7G55GeAi6xMeHzvndmi1oCp6weGxj9V6YIH8B
KK8Uc8DyUi3ANmVnvStuKWielTYP1sb0vN1oe4f3vAXQB23oUI5WB28/pVh+ojwiwkcTN/YTphjl
Fd0wJXwO2HSdX2QVENkhKtxZn2renVN1eOv5Urz6vcYUYUD6zF68Rjlx53ukuKxa9b3DqQ+vGs70
paXvumTYj2WwbfftUGxbTgs3Cd78yR2OK3J7MfP/ARSwU11jolT7Dj81tcVYbPTOaQnrszdS8inF
doj59Q5u8DvLsFBOqU8rxubV7ruz7nX3vZut8XO4VV34YeW8NyIhw7phyN4dNPXwSUuxJjWDy4OJ
9efMtUFGAGx8wbSh0QZmNOPGNVQKjPudyXvGweNtucyvWI82zANilVgVP5f+1e4IKs+ZO67g8Nxl
ydiuagcioGpScGTk4VNpZ7+rbmxWeZcNfu31OEYiOmwi9SBU78ExmEROEeTsIhQno2WWXfXBR9/x
u5t7fWsD83ZacTGI3kFOSX0Qd7aSkQ2tA1Ci1E6B3H2FQUihU0gIzSB22AiDk+xwGrE8mbmha7nf
646H4N91VyIZcj9/bHMYUSJV1K1uwGxom/gBA/gugG3PA46Z5M37pY59f9YAkfE2Zu3doHtSzAns
ptd/mB2k8UmJqXvpP5rW24YCpGgb41HspZ6fESJoSHBkFMb7harw42ESVpvJug6JCPSqmhOxTvf5
LNwDJpOvTgy8hyd4L6pfWsfceBr4eZbwdZL4bColDnMDDMWEy6WOHzRuPz7qJKqa8O+Z4/ocxuUf
TEajlan1pJWM56B1MSopfmqQ69y5QSWh4QgWxC7+nMWlD+uTzWQx7Iqr8Ega4i8C6uqCgOiFufaL
S9JibYWLV4Q+fk4WbwCpK8ar6/GosSc/dfvFYZCnuY2BVNLCUa1fU73m1zGs7WZW7yyRj0zGs3Rl
uszB7Iy6jTD+I4hndyerXAhZ1gjvbRyerXLYaLo1MrHCNCN2YDvY/b0yjNUhVtJ7I2RCjidtoVvF
ziAyVdfzwIQ2EjtE2kZr5z4BoWc7Cn/Ct4KdmlKzF2k1vwAuGuUPQb8fcZkeAtsYcQbuyFZe8wqM
GYh7c5VRbbufrbDxW4iY3pCsk9m6NL1HbWr/21KOWC2fY4xZC4LQAB+pvUurDVLG+0SY5lYt6ncg
C8e+mCE+lwui+aM2Ma4ePQ2xfhk9V6bDTIgaKJcgwapWQ+adZQxmkhL0wt1RtGRhDekM68RG3GNP
qEKsH0kPAlIME57ttr41jelJV+1znfALjDjDqYmpBFnJ35YTCD/rIA7nm0izd7E9fszjkcqZ54yK
1BW+IPUm1zhPWIlfUWJQNjLzvm6jVeqmJQRvvSqQ+ZbatjX0kDe9PSna1sbwaOVZyqNZmlsB4Ha5
SZUrOKhIoSYKqHcLXQ73j5Qbm2KcQAe+i8j4qdvKtA10ASwZCSlEQ15Pswy8HTNCy+PqLxW0A0xM
sE2M0K8wx+/iCEZSavwx7K5Y2SPhfgtqEvdNQogWeEFdvcWuqkOVc/wUl9OV4nGVOJb+g4DLbzyU
q5NIyVrrJO4nrIpSXXsA2Jf7lMogoDQ0X01La9lhExMj9nWdxL6b7kwLLq02jntHEy7zgKRag5pr
oad0b4lWg6PuTkrM1VY25qrNquckK5Aj2UfAmP5cMn8eOg9XX4IUKzuLdgOO41A756tNCXtl/po0
77PK58SnkK3iMu1vTjG8O+3wCUl0P0/T2ta1j3KMLWjJA4hexBfB2FjwSYZiTR5ErcxHkTq3vnWR
ZST5Rbg9CZRaJZHtvSdWh6N9bjwF3UNvqqC6YYjiIIbjjuoE/hgVl8wyz6Zm89MNO/ycyGM0qnNX
8dYhymLwo1i9x3DkWRe4Ynp9sQ2j6SEKLEEtoHMjoYKBSxLAbJ7fXO/BtRWKRPSFxZd347rrEibY
TDDB14V+opf+BMUWm/OVaHryDdFOqYpLkT2DzfNIdgZ7rsl1U0XGZkw03sSExlA9LjaKbhtr99iG
ADsJ+lG7gDe411NzUjiboVbflCwj1dLru2CEuTcGmOFlYNBqp1+HovuMakrvLePA/KItMiYYg7Oy
mFXy9jXcqemBmbQFdTjDpSr21lopbD4GP4TMU9YBtblFbWhr101+TU70FpGnnKY+XysCNmDi6dPB
mV5LM842gb7LTBLSBTpUNKjhxsYHpjT7t7QIlwj1f9F1XsuNamu7viKqCIN0KgkFKzq05e4Tym67
yYMcr34/0L1mrzX/2icqAQMkWzDC9yZW/n7Mr+Za1ZoBAayk0qi0klen7GJEpKOVfBsGRm+TVO9t
0TPl6KwGmLAGHg4JiXZtFw/lz8InIyMJi0sThFuDIJGtOw7HItE/UgXBbhjj/D77DZXNTxhJ3wDE
860CR2VV8sR7rmKzNnR5lPq+vshx6+ICPI6U2+FzlRs/CXBny5EFligRUlCtuEb7l/rUQqLoM/fT
k2ormJrHBclCvgn0FNX7EIONFaQle1Xl+mdvYDuVftMsW+6CXPtha8rengbqJy5sHqP4zHOsTvHr
/sRv5p0Zdb8t9fAyYTmMs2+SrEmDxYVgulYhEa63gdGURxHBoXyHEgP1u/tFvuXFd4lYjuijNILO
s85+dbXhOFaYkeAzR5a8UV27SrxLfiwsUR6jxNV3yhy5HBbjKTVVXN8j2W6jiHWayty/KPpXnlFo
IJDq5+7Q8qpg3HEeKHgbYHwbHogV+pZourIhAWv3ipDUX/WlD3vo0x3upWPcqW2/2FnLbBNiqjnB
OCO6GunEMU1clql0Ub7BhJdnE5Ittd6ygl7zXbX0H6UGlyqDM0HB9innn7eSvfGopAklQ2G8deCW
WtB3G9J/Zj8VNziFpngJJmuvpUzQRUAoH70TMwCc9ljDOjrerWVrQDTGSZiC1c0Ng8fii47XB/np
UVYOYfeYClZqVoWeJu6JRRHqW1gR1DDqOXlQ/QsGpOkWDtcttrsTsAJCPyW9iDRoNiwCT/3s3Doa
z9p7IJ13u61fa5UbMzFfyb541i25EQE5hUQA4wJOkOz4UFc8Lci6YIjva0N9axvzQ7E76sow3WqD
7LpYpRgTM/7bU2SgmOgOZXtJSnzA6QCgwc3mzdp3f168OkpwmnAqxFL7lOjWROGu/lmUw7a0ldeU
SOKVHRr9us+ZeKsmbAafu4VZTCtzF6m4UFemSB9yv/mQAglF2E6YUkJ/qtpnOxVHI7Pqta60zKkk
9HsVg+ohVpSNmPN5W1fzkIITRR/nP8Ms3GNc8VBF4VZNzM/QqahTVaCAJKkSpRjt9LG4JBaBolWZ
HoqOyNRWLTxY4e+JVkMX1UnoNiMvTgCe4wb+my8xDjY9vsKxDa92JCEJ9yepaPg7WVq4QvTo98aT
3yCh8P1fk1RedKKEBisPX5TkB56J0pz0tRKosLF6/TLiPbYxGu2n3TYH3Y2e8x5kHQXgZ+PP/+ww
/TFq3T2R6KpJW8D9KudvjvrLmPTnPIae5wfvTCHeCVYNV3bebc1i/NEWsy5PZSBXMhdG4JTjPa7D
tmNuPlcqhx0oXrgxRkqzaqQTAK9TTQh/uCaJFEktT1lKnFJuPmVOL0DQle9T0J/UEgtpV551unBh
O7smz5111mNyJxsv6qO3KK3E+ldpFj9NI/3wiwKupZ4/Zrg1NnZG52JVpC2ZDfZ4x0n2nk9+PCwn
tNpacURn9KwrHeR0lL+oLPZjjy1hSDZoHKsU9VrZcTfCOZ+EsVHBVPHgCtCCyH6trptpiElKjJLt
FNhHFJTvlih/pNN07fD5AlazzjwhdyvBrU1pN67M4WA6wU6v4rXdtxCOFdKi4umCeOkB19ppV5qG
Z2JvwPijkUeZrh2dp6ub1G5PpgMu+tDAB6fFZJ0/qjDcp8GmeGNTT1kZzOi4i+XZSF9bkWwIUL1V
YfMWdkDg8y04jURMQSxRt4HFjYJ+4jKl/o6K+JtvNxcqt1cfo3xWCejQ0lLzSCE6piJ7bkL9ezZY
goVeyLQWPZXj4vIkGgZGGT0vVIFApShD8bjYsxp7JlT7rWjin6x+X1CBNgds88lUnvwNupc3szhV
hf+d6QF8jJApik+h/qQA5FQaYSvtaCaek+l7WEaU9eLRYMpQBuRDKqfcLpQLa837kFHbnVp7S162
3OSm1bOmH9xtNmFFM4k02cvqLHMFgIALeE6i/GTduxrRQojId/bDpKCbzLCsJCQrGJzgoYt6Fo04
J4DtK+siNoktHs3dWGfag5KCYJUoEUAibBZqTqgiz9B24+iWB+Rx0aoayWAaNCN7UsYa03g7qXfL
5u992NDHPJd16m9sJBwY8Rc6Y1VD2Lid5WQZzOlPw5sjIsy4CbCw7GFcl+54yG0k6YicfljUkTUB
/9Q2WmXP37OdNCaqrfCp9GFiz9LmdUqretcxQ696xrCuogAZNc/kC7+3TToruxh9JqU/CK1zd7b/
yyazcz2m2js8MsaaGrpbrIqAnOP0u9JiqJobTO2tXvvypcNDwww78/0PIxbtmhKRs8E2QLgGJs6q
5G+y6Jac8iHq5ylbqBxDGw6fb/8MXf1nV0PfHumE/dY/4MSMQToVq8bV726C6be5LUblXM4fF80I
jGFBn+pxvnedV/zzsD2UJEtMct2N8WlSraesuBax6FZx2j/LAPQ5dZxDVQhKmvY10VGT285nNZiY
+AflbTTTx3iGDlwlo2w4VEehBv26rgyeCJcUeFRlD+RjyE0ZlAMYfrNhct3zWBsH2QkCdUxWb3sj
CAVmEzA7VAtHAs0u8ERNDBuHxqDyYrO4VnH3NmRz0OIQdzvfyH710VSfG5w2AsrbqslK2QhcBtjR
AB8wDM8N1bdotM9u8EuvDTDZijw0hwVnETmS7jF+zvpX34hwF3JYo4WBEayQWK+GBi+HIR/Wjhuz
drbNfgWmuosjVbsnLr013rGsbimxDBn5UFp0FC3VF6sTF9bYL5aa3evMST2lEhFEi+ANjxEk7I6+
Q82kriF60A3OpEOb2CEqhxSp2vVc9vQ6HbG6zm+sz2jrpBAMaSbJjiBTztKPBljYVnWs9wklf9ZT
qvQ7wBUsVJC4g7j3zcAaTiF3yZGps04sS0PR1L1oKYaAqoHlS5cX0KooWJnFZxKXeL/Ifp+O1Jm1
1HQPujg0WdOuxgBgqp4oPtl28t5S5GO0yZWVhPRQp3l4COJunkDr300kLiuqlQF2J0N1U7MMYEU3
P/IZevJ/lFRY1lqiMHdtTjU1S2iy1UOANLBlMvLoW9yVMqfY2aroTrpLh75uDUel8Fxp4pI+AntY
c2JNW1Lxi6a2By/jhsEZIdlVIS4VTO9WQ5W0jyWZ6ZuaeKPZkP9IXf4cmOU6banbDDhqaD1lTeZS
xSHuShw/GBHCUvjrso3Uc9Or24w55Wq0UU5HE4nlQr26hTB2Qm3LLQ6Rh6mM7ZWVSC/UCWyZAgaH
IBD1safenjgQ3ONkeLUkJFO1+QZqxu8vJ6g/VGT9qI4f0pyyOutWfGpji+iVbosXAy4SpYxOjQ1+
WlYU7QtjUBDF4geZupk3NQaDcV+/YdHjSXOef+ZI46buYCb0pGmUv0prMva2nsNmFvn4IOoZE6qg
0xC/AYfPTirmtSl54mg3PBFyWyi9QIBdUwjkQWOZZZmvWVpla1uT/hrLFQmXE9VrEa+JbJMYQM2P
5DUd+Ihk5BE20spcCyHmPIXyZIr43lj8b32tsfZxlEBg4rFH5vNaWfzFpclHoieiEhNYdGtAMpbT
3U3XhFicZCesPodjkD+qlFC4o+TK51fxwqTG7ruuWO7x2Voxbgka6UCdmWXZYD2e5RT5Og66vWDh
TrxwRsRqK+QOsNjAI2brduc8JLwFrey7aonmKdN9r4vHu9Gjuuzs7lvto/WEBlTtJEE0dNHNdYgm
Gim/BClBlHWCj8Kw2o3ttA8BGCqFQ1fHGCUYKZtbxSf+zfyLxvjWqa1C+LSDAqZziN2QCBPKAj6t
ToVOJ2ykJWFTciebPnZrPEio/ouzGBu6m0HqB4xK8olphck9JwrtcwjMd1X/1Q3TJ9YzhFtgFG6W
t6m2VJxxfOrQ/jvmW5wtdGurpigogAxxr6kRmVD3UPru0oMxW6T4xGHn1aHy3a2E47VaReBalORn
kD/bSyeHdDwBpgPstVY1ZjqscxD3MmNlXbvD2Ees8cRINgzbh9jwxwfLV8E2WPoICSXHDvJhq+AF
Dw/5uVFSdVs5NzwumBiq42s3aPupVqkKD9W3pgMRsfpmrQeyXg+9qzFRTCe+fXAO6+Z7agGRGb/0
Lro5rPZZBDMqdt0A1YjlQDsAQIeuwpx9X6EbvwbkkSg5YdaEO236Wvms8u67EZDrlfrnpIVbKdrP
3qGgX8SU4GFXvjQUBch7c/H9lRbFD+Nb57M8jHFv8BDovCuzei20x+NgE12QxfGjIgrc882RW24q
8lUOFWWjdaz57NkTvy7kl2r0H02nMmOx+r1G37ObTbf7PP2Au0F6Je6n4L2sjHW7euIvirmrwpjy
i5nuQixwIRtuEiXeZyqBzpVv3MrajR/ymnvbKDcB/+TVWLjQAwHBtdI1vbDp+0vheAbs2Y0zCNI2
2vdxzK+MsDGzYGMlCuRzVS7hgRTbMZ4Fuw3rDkLbIMhPxWeMyIqlQvysq66/DktKr2FuRryjcJIG
eXuVFspc5Se19v6HEuxBX1WsncSlq4HZpkH+tO3Zm0WwNKpqiHUdv4qmTrvAneprNL+YVN8ymLQP
yy4rLYkyovJQJBZ/bT1H0PjDPoP+CCdXpy8lWN1RXFz8q27cFCX9sF9oL3EbxdwH6r3GXmKj6bq9
Doy9Y1nmRkzuPYhCgcqNmnZeZ71X+Sxksh4dRLyqhrw8lEP90tnFtNNjI/K6Kr0MUMbAjkHnjCot
dzw8BBs7bYKP8ABWCxLHFI4+FpU+NhVUhz2jqttLVzhPqeQfKqd0lRVadWncpiDDe+sw6DsFniwN
8AauY9fKHynyU2ZswuGjbzVcxG1g+bjVXg0LZmFR/yhKnFxQdDEVyjy3sq8ZiNimmES9ZtLq+UgH
OyBWPHPmoI3+K67GjW91DfGFD0nVDluMv2Eu+hd3Cs6BxVqFZdk20Ytw3SsJ9Ritf9DIH2CSM3zR
5WIeZTs3zageyzahDGMFr+kI/ikYlwIcpCtl/DWQHxz7hnaJTKPbNDILtkpKMkKpOb9sE45m1rwO
TeevBDbIa3tU13Y90j8b06cYnH1lEJMd/7ItbtApS3+WA9pa1W6Y+ymEGMkxOPZG8a1KIFM03Fx6
/YKO4+hWMHwCP/T8qMLFo9VXtit+zooTJuK4k9Subqx93T7pMK9T8BevC6yDC+XnAaHiN22OGQ8K
BbQ95x9gi886RWyJjiin+LodfAdTmzh9cS1wat0mowgvkAcrH6+dAXpgCv97eIOBQq+y9vvJa3Wo
+111Htsk3UHLOIydfyUuBOkLtYhEG6Dq2FwzGMd7Js2vahrOQrRXZqnYFofHxKcFd6cCIajeJqLl
7p5nZ+AoVysOBdPZOqNyYuxLszloAzno2fCsjJN2buEC6fCAt3m0zyqmuI1rfOmJ0a6kVd+VvJmo
cyUMBvzfdJSZJaSnygmPDVgaNbd3XTTNSSMsNg6dcas0jbupp3ztipC7JXpMcWZYB/T1ebXDVukA
Z5KhPFF19P3Fj9QiTswfDBKnla/AbN8TkXw0VThx9+u7vuR3ERHhheStb62p/hEYFCHjeJbTxyBo
BhlPeu4Ea4FFGRUGEFuTf3NXdVuIT/SwD3ETf+P3f7I/qqJyNwH1Asq0FP1rV10pPcsqM/ga6uGp
1u2vIm3uzlg/g0L4az1W8Mm3Cc5ycZQqfZYDQpvZO+CoCqnBloCSTeSBs2qzqWTJr4I6275xxCjt
Q/N7Z11KeGIzmiUb5Pms1NINsTuHbrAwf3gYjXFn8wTJIN9ldNy+pbwZbfQLczNJ5bkcdrkKrQ35
e1h9Sbu+kzNFNVrm11JsNZ+Rkz4dd2V3n4kO92P5oScO3PTBa50ISp0qCnIZ0J0Wc/yMMkKw87VP
W/8C0HS8cHLPA5S0jdSwRoB6HZUqnF43fBjMSVvFUXgucoXUSiM7WajVEllmu2Y0VQ/anMnsol+3
0tpp/RDgNlaURLCUTzoXxmGNxz8RDxWL0gBFJ+mOIcJrt2zo4XdjEX+FeTmbTjUHQyr83aRyCosq
DtNbFmFzBtrYv2pT6B6pbKyHmuxxx4w0b7DlS1hUN6MlCAKbar5GtOkzuK4O1XL03ubZSlgKlcDl
62hUCa4ykhOeeo/QvzH9GwoQqwEQYyDcCebUrmyUwuuLazOp2lFm3baXSrApEyZlRb3Ppca8lZpw
JCN+vUF6Tjido4wOyA9L6alF8xA4BLcHKrELMI40V6k9N1WQK3dv6VB5VVczBWiCm6Ix6e9l/hkA
6JUxYZRuoEQbZdTfraa8CrXZZ246eo3GfDdtEot6kIFYKMWRxe9vTWB8FOIYGPSa5ATawGG/XDgO
uTCRuXfuFxkp7xS/ROm8gqDsBmLg0LQcDRalYcA0Ygj0K4KVa9ir16hvYXtohyJIs61GecDKrNug
uzOVh+loURKkOMJ1LSr9Xg/RCwxLpqP4UJlNh1BDWhc5Gc++ET8J+pStY7e7pJp2bqE9+IzkiEXX
bQ5ARjSlF8dUI0nsjKNqpZeDsYFGyZYTMNkp4MXUGVVztNxRHu7GTtvaTcOshGKjS2bBqlDSkxiq
Tz/uPpMarCKeVlr5lJZty0OD5M/P3/TQ+owG86vtcvz69Y2hpsUO83vwshFjhZJVuxV+UJIFsC9k
RfFMuRr59BKa9mtsD3tVNw5lyFRVafQT9jvIPQQcnZYB0ayddnX6pQnFK9WCAQNriM4VW7NkhFX7
j0piG5h8CEOQw5YcKOo+WjaVuLTJ75PvbqpxEruw0b655LCWpfs9bGdGfBSelB4iBUQ7UiCy4WRm
5J7mOgXuzPmm4uLW+vkVw6MO5lX3XHbUYpoAMWxuW2eEYwTa+cVThpBh5U7jSbbuJppMUpRoAmJy
MvBJAWZ1tqZTPRlm9l7VZJUpqo3XPoQ0tXtxBeVlw0VWYDrPfaMxYTM3dLkg0HgkQMMV3xICOpGb
YC9mGtW7VNuNAku1JDV0iPSrpdlkhuIbGFNzbwt/Pw954AL3SSbmSoQSbTpSH780H0ujvpjV4KzB
Gll2E1q3UkrjlrZW7Uk4Pb0D83FojnoLGhwAp1TKT5wciHqktrrqKxwk4aXqNj9tD16ephrrUvtA
CZ6+MdIKxrVp12rta6ZSAsMVaVak7xSE3bVrMSlhotijVplhQPykImwn1GCkOMDs169/lI62bStx
am0bP5SCZMiEPhtDCzunoNk2574QzVnLo/ZMAWIC1uuVPfSRflUrxXDIalE8xUJJnlhWz++XHXmN
/hGfIoZNy8cL0g8DbV2Zar37c5iGytB5xBqW12UXdABwCFN8/3uRuA9i+nFn8MypLp6ow5RP0MWe
CxXzjmWXQbzrpXTV/e8Gc6uUANMt3zbc/L0QhXRU+r2uHJZ2kK2Hx6Ekvn6+6vKCtmQfIqgEtuab
Lftqq27WMOxMbFz+sy+NnLWGqc91aYF31wjbJaagbSb9VQzdnxfWdo+OkP3Dv/YL5gZY6fQAWv9p
r5UWLhbiBE6qX/7uTolWuwQwjJaLLvvTfCR6KjRvrEW2hV76t5hMz5fShziVF33zsGxabp7MGXCT
Fw1x++JWQXrUS2qJMuhbRo7GeSQDYZ0iv2nW0h7OvUrnu5w6Vm69DiDrHZbNOHXjHcIGsfl94cDv
T2QVUjSbP7ZKcZ1LtN9Nl49y3OIO6iLOyyf1EZGNk+8EFCRo3rdltmc5rayXzQjl6bl39W9ZqfA9
VPVqlFr9vFxH40xKGVV5Wi5kSkh9pXT97XK0ic31CKcXVU2aPy4vZlpW26Ti0cIqKwzXrZXjddFn
9Xo5DKM5f+QDo31FBjO9+Nwmi6YQ1hWg1t/rJPU4sB6QO4oU+rZpjOhKiT3c5v2Q3oDgZ+ZAUTxi
UWdv8iDqnhIsNTc1rgrPY1Vaax/1zQtzr2od9Fb62lB947kz+3s44Wdnp6b9JgdTrlKlzX+Iqvgi
VBa5ZCXvThdnP4dCIhuMjU85QWRPnfxXMzCjyMBUQDjydacWdByTevMHZjSr6kS1CkpuhguNsGLo
B0QTM93paD3luxAs5Asg4mg0U/mZVvajDcP/I+rj744Mq3eVNQGzt9r9roPdrpI4HbdRERCN4mrl
I2Hy+GqmNl3QHLi87AuSAknlpDD56crycTmgBZpNJ+EX3rK5HKgiikNxkCpMd7jU73ZFMHgWFLPN
stnMF8ht3fG6wcFR75/PIOs5hz4Njmb2ZR6up8pWt4qh4UI8t1mu74IJ7obS7H5/1eWArP12J2sw
raXJcv1BUeH5dyF4f17CZ0ORvp+6hLhIINAraUHZvi3NmEjQIjzzmCleowzxMyYG0brSzOZHlioX
3Sz6AIz4cXL88FeZme8QvN17b+kOEcgNstneTqmquOVRkblxtPXe2bJ47Xj+Mx1c3Ojeer97M3Os
XELTQz3ADzQl06O0C+v7YOn5Ogj66cnVonzrWhl2O1ndPcDud3akNvtXYk3rjVEm6iuMwhjDpPBW
qsmTnHT9YhQZRguG1QNNgAW2SVheuHEAioI8uSQsnXYGXgvnJBHpri1xSUklAFeW9OM5MY1mZ0hY
BVIA/rdCy85aO+o7nG2Cs+bq1o4HxT4lCUKAnA6Xp+xBQjrZFUj794YZh4/MRpjSabb1M0gf8JWw
PhvW4au6CcanpWlkTgpVmf80Hbr6X00NZM5PKhnfu64x6X3b5Bn2VHwi+2zX+3ib4rZMOWPZR8Fz
15VFH3o9caGbolJB/fz+MdNrkpVjf/L0aOoflxfiZe21gZ3EdtnU5nZahxI3MApzV9C1EdwdU8vG
1Sc46FE5/D4vjCkqO7pfPQCCf06k+WFURaUfrv+tKVxsb9ApsRp09jkpKnAse8TA6BIeDVyFN5B2
Bm/Z1+eO/8jsHo4+jptgQrRb9tm9selH7JmWrT70swsWZftla7kQ+jR3H5OeB52ZaywvpjB9gpt5
hv7ug89ZAeVa+qH9px34x0bH2u667CpcR2LpVu3zigj1IU2bjar3sCsooDRbJRb8dsRBhh5qRPSY
ypRQy9Lrq82wABFg3kltMln/3q7LCgM+6ri/Wy6bGOdTappf/l5iOZCbQXO1gNTxnHawgenrq+aP
6n4p3Esl5UtwY/5/dgampe4VjRL/cuLScHlZDqBDBQ6eT56mAvp44lqHYF6AlmFlXDrqP9cgK6G1
4Br4g6phDchj5je9wKjCnNDj5C2Ao2HLL6nn7mMUILxxS+rpy/7Mdp+x+1Cf3Xm6W5bIYpSwpb3M
j3mBK5Q5kjbtj7L0lv1tyIqob4s7KI6NOdFAvGoMdJmZRM5qYa8ca5u7abW8bUaSS+XQYWVuKsdl
VxUnHF22f79d9v493rkI19JM+fWv/cvmv/aZuqMdsjLxeocaKrlX4zHUxz8vqlo/Ri1/6yTgi2eh
bb5pMeIDtUiKH4B2n6YorHfFlq+NpjUHYRli52hx6LmZgesHHvCvIteAz1B4SN2hPw00fJmqNLqT
eEmoMR0mrAzFq43x6OCy5Y+xsYEVTv8nh8tYltnXWGDq2db6W2DWKgzS3GHF3isP/X2vax22oirQ
/UrtjWDvZ5KldYO0y9Gz98LVvpNPrjxhmJ0fpY7NYGRPEBKGdltmRXrvVEC0UUm1rYKE64flr7lA
5rX3rgqKB62s0q2KQOyQt0H26ozjgWKkfNd6I0f15PvHLOziJ18Ev5aPm3SHX7Ac8qudZ93FD0AZ
hvmE+XvAoATTiuEGSisQO+wkP2IsSc/LiyGH9lyKFnqt6WBxoLBKLyFIng09EsNqaYOWc34LTRsN
nDj+2fznEkvzrCjuWZbm+7+XTg1owULpGq8tkQYMw3TAt8W9LFsyQYBmd9jeL5txBYsFeuqhd+qL
DSDYHGoqILDD1Gidl0p1Hztw1ViK8rs9gVtHQ1q/52l2h+bR/ySi+dwyH/2qOwtJlgxIsM+nVe4g
E1gpLOTncrQboG/JBhgyTiBmuX2GTrxBpzyby+V2icOcrhWriGjp3bL590CSKhk5yPAsO8rd1+hV
6YgRNzCkPjlWWLrbuoDi2w9WfQiN9mHZWl6WJubcbtksZ3WR6APqZY39GA2qcpAOuq4MlTqr9A4T
BR3x1SaaDy9tKsVX12lKTbQyTdowrP5kSa88/D5F19J1pQfm9XdjfqeLRrKEWZn2I4IhLvLPZ/w+
v/ezijuLz6ihFByHoum36wYe9lOQZPLJn5cckVrB1flnn1O3zSahBAZ1B0s4lCv6rVId51TqcXVC
y3JnTWy+qMiq8BuzbkVtYykbwye3uRFPy0ETV/sNPJBirxbwBJvOKHbShu+aNkbwLfJz2ys6zBH0
eEBHhbyT8JwOqduQWS9TCsvGzQPlawu+5n/JjimpUTXmS8a1PAiyyWkwjXBTxCkCIpgCz1QzvYFr
3QzTMJ+nyqdwauusMBHZsTbH1N0QTbxajtoGSOfY2P4JeB6D0ShKL0VtVRcbxhoQehV9lHb2UMnY
fK2MwkZTEWAHMmXRvVAoIMwN7P89Eyy1pqjuhB/wRX6fadFjrYux1m9gS1Tc7TJ96VMUShh4Ro+x
7+MbpTU5EElq7/rR0o8xYwR0mKwF0Y7zE/1bsxsz1b4I/j+enSTGY54Sfxepiv0yzJZF+PGuylI4
u7r1p3GVzRkMrT1qZ6DOlMIlrlvzLgmD/1zML7/bNZXIybZQ/pyxHGnGkYTkXvhEECJuB+P2YCS2
T5bRhs+FhWdFhNGbt2wuLzQQttU+MbOfVUAYD/1tsOyjgSYoB1IB6Q++2wqSabvgaMm0Ovdhn3lJ
ljavehT/XH5qzfgVmX34GXOvUkwfCbqYz3GwKjqK+ZzUpqZQxaJ+nYwZPuj9LyF/nyPdVFvpTvbn
nNKCl5Kk8oikyj1qzegegTzBt3odQKKMZbBNGBsq0rA5JJdD/37LJNjYKG20TYcyawkpEOj4SNVd
1fz1uDyToz4GmDCsTNXhVc47/r40aUQAMKzXlwkhrdcOJK7X0WCccqknXmTGyh2R/LXnLvw0o+4m
6t64o1uQwOL1/2nqZ+11mbqKcLgVbvSn6b+uKiaVjPW8TCgjvuuVNL6pflW8BN1/bUTdu9ZZ+u8j
mvtfR/59TuEW/a6ufEgoU9mRLF6rA2Msin8AUVV4y9tEwxAgml8KN8Zh0rmq+HYdq2Rery1vJR60
Cpmq/7t32cYZvnqYDErW7qg8SDM4IhkRuxSo+AFUXnlY9iN8p3i67NSywcEXeW4N6OfK1dKqtbTW
3C8N6mXv8nZ5KR0TrMxu41WBc8af9suRUQt+tG4VHkf6+VvAo7FPBwpzWlbKmy81eVveMQt9bQBT
H/7uH/xA2zsGwP1y6v+2hW36p22Dd+8Kj4MW22EnOC8vJkaf3EeZ8Owyw7ukadF+L2//tqlH4I5/
t1kOW6qJWUtHsEwEzTB4UTB/P0rZqNSn57e6AuNrebe81AFjF/SkcPV3X6c7Y3n+u51YU7KNM3zM
lpOROOLU9K/rUK4EpKlri+7KASP7r2swcbLXchxU+DUFWi3s+jo3umFkIG+BGspbmY42GnHf2Lij
nv33gX3TYeD3d29hGPYGpNXYLCcuL1gry1u9r+aWy466hx9mMeXYodPISJq5T8CNZ8IQytWyiZQp
39UGTkvLpi6QjCpoNU/LZmRFGwZI/aVwdf2WZOJl2d1HeLc2ggy5eJTjvdaAellC2IflqGKqV5I0
p0eCssVzLaffl3ZT0R77uC3wU+IkEI/Rw1eI9ej8tbQUN8HcVIxLT67SXfdJJvm/31bM35ZpWLgF
SRruf7/tcsmEb5vVGDSXqPR3ixN6xnCxbfIAXvRslv7bHX32U/+7WdYhSjQXCs1ydDkwDSk9+7Kd
qvJ7qqVyv2yNWXmkq0Tik2qeGzPXRRYYRTe83YZNTT3bG2p7hMoUZmsfo4JLzlSI6CTfBH6osM9a
Wv8+0TZCuNOlM+d6RDdTqaMbfLOApUX/mJB/ccJA/tgqg3NXdT5+dAdUR657K7vkWz3vli46myoB
Tm/axLkPjRGvKcRHp+VoY8VkYozJa6DBnm4EETtDrzj3CtHYVlbxsF3O0vWecmQbxxdXSd3XKT4t
H+konXrC6RUEcP4oP44Bciup7JbNMRm/T+TO4mFVFy914HvLR7oN2Jg2kXzddqn+KlCNJZFzblID
xENVERcTZHUmKds+96UJ9hJrlg8vVDyPYyqwG/rn8KDAYfh7yjRNI50oFvsmQ6thojoJu+cgbLtn
gpYoHaaQQ/2ATSxvCJDpx/e/LbTW/9bHRnpe2pN6Uu+MDqHlslnNF5xR3P/H3nn1Ro6kWfuvNPp6
2RsM+sX2AF/6pEzJl7khVFUSvff89d9DqrpSpa7pnrneAYQEfSozaSLeOOc587GWffoqNdYwRZy9
oxn7ph2rd0OG354GAFL7SuFqFUAyW830vwbXbdDlX8lwStEJ+nPWgI7bdmpsjP59dG+Y9WdHU7Kv
sSeRv5jlB00a5baBTHhONdK8KCa1JAPJsT5FSrlZNi1txvlkL+ybKSEbbhQhTxKj6m+mwulWy/uZ
mBSTziwfvQKpolIONMaU2DirMVVu89C03yMcuFg2bSL5sbMFHkRpqvxTVHSWz5B7fbm26Ef98Rli
+lAvnyFPaVMtn6HCNXQfZuVn5LvdzitjfZeIeDogDkg3ErDH/TLbVXG2kYGQ93pTf1s7Ob72albE
sjwwaJTucDszTqIp0YMgJ30jRlFdIobvj6Ua1wewyXBElTDZWHDzPoxj9x4JtP5s12d1okxPTclt
Agh5hKGcvSfHqy5r6pl5C3Ch17LHPi2DPbysFPxd0hfnVOaIjJqn3sy2QJ6JGdabNf0Ati7LfsQd
QQy016TmZaJqW29QwnOGjex1Qt11uywvbYkWCKNzdq4Z+TZveiIj/JY9NCck+MUZ7JcD9EfN0knV
Uud4PcsS57qOFnSeKyMfFU9ejS8ruypQt1XVQSSYVyybLGudTuZnDCBA0Y8YoIIEtksq37jQqW9e
mPPLMhskvXk2ES65zC3Lly3UlPEjBn0syNRZhPV93rfPyTgKjHQXkHqzXgDsOF3vC0D/t6GPYLJW
0VksIHRrqu9Nx45vGU4PXpYXibVuVVl/graB27z7Cm2cZxjyl2u/0L2DDzpobwdJdhv3DHI0iui+
ar1YA4BuHwXUpg0YR/USdCoJaG0S7oZSqR8qod77VdyD1CEoa8yc90ZEhkqkWvF5W5Q9GSDaCLV/
9K/oY2DGzvxrbOX9uSYb89qYX3SJbtHIr8coNGeiWHuBBPMM/x9ay0qPq6OcaFactm/rOtyJhi7b
smzZrQtQ4Y9hm+6X2WWFCKsnsPWGe9rMQkll1Xn6DvOmeZ2UXv3O7pT1aQPIMjTNovHL6TC1ZpX7
ZsLUt+y0rGjbcNjESeBhueBAyzK1yQbCrsP0uMx2uWfusrBADSHIxnF8471Nl+6sdxABLLP1OAZb
SDXisMxacX7fMNx1hZnKu8Whvqub1nhfjD4GNudGHSL9gqELEPy+eEaGJfZRVdClWZYtL2GY1ed4
rrAts62Ycm3nTVVxbLrsI1pgrOeOJzeqsKObfsyMK11+bqktYJwhruIIxgzL67wyr/L4Ruih2AhG
h7bLspcVXvFRG6V6tsyBUjSunOzzsvmyJDRUcaTR+vo4UZILVBGNsq2srsNI2tQffTxUL8egc4Fc
u5w+Yn6x15XDyHTE0L8634BCeK+3pznPe5lb7lUDlIvTuu6Hue/7LTe571su+zHm1N/KnrHq+Qb4
fcuX95vXzcCdn+znDD7qR78/+v0YX+BsjC+M2Ltp07E7gGOJL07Ll6mXZeXAgFmPsoHNT4uzijv9
apmvp+5L4iPMJ5/hwkuN/GKZWl7qcoSpIpOWALE/VniqCIdX87oVHnLhp27Uk0P5cpjTEbpaGbdq
NLP75uMvL8uxaBR0q19/+e9//O+X4X/8p/wqT0Y/z37BrXiVw9Oqf//VVH/9pXhZfPz6+68W6kbH
dHRbakJgIjVUk/VfHm/CzGdr9b8y0QReNBTOFxFJw/w0eAN+hbnr1W2qshH3Brru+xEDGtNLZ426
mDO8k2aMUxzpxUdvbjIHczM6nRvU2MzuHEp/bry0tTPZdTxgkNcumywvdlra66xC71uulLB3aKgQ
EpDs/CjWL6vJ0F5e0km91Lm1uowN811DS9IvUeUXe0X129Vpu2UFY24EaOYhyOQipChqZIcys/sL
I0uHi2VK+z41bwE5JaMZh+40oGty4Un12IRtfl2ESGk9fXw152TiaATOuPvrb95w3n7zlq6Zpm47
hmZbUrPtH7/50BjR8fmh9bUixvXClGl+2bciuSTdYp7GvV0zvjEvKbfGSDIZso0BdMj88m1xVDlg
A8vau1AY3NykujAA3gz1tRNaFQgFlg2eaSAnFV2Aq++P+aKtvpRJ1ZI+EzyUyPXfhYyGPwj5kMRN
e69hmrqJ0XIvS+22iS5UD4vhMpuoDKoMmgI8f97HwHuw9ZO6wrzfGg9oLZL1ZGXJ2bI2y+NXxx+K
V8dXNHHs2wqjpaeSeup5DbCOurug+vzXX7Sj/emLNlXBeW7ptorlS9d//KJbO7NpsPrZExWRHl4M
39/yDfupw5dqgLLA2Actb/mOT6v7HCxqnWXuy3ZB3eIUhiPqBvpUnVPWwQ8bc8Kl5tgSmjkv7OxZ
P7xMep4+T1ry21aFYT51Je2u0i+cI8wqbdvZzfTYNKuxph4+ERCzE6lsj22q23eGp14t61N6OVTM
ZYGT0zMvK/DG67qzp0evju8Gasx33APeHDBBfnAjHA2h4XpI4JZOxnDVWVZw3vbFxTIHJHC8+ra8
uyLnGQJfV2TeqtMgPyJz0TaeftqEXRs9e9lVKnq1mWifHPIIlUcAOgSEfTjcCK+8GwdVJeCto5Zk
N/Nn8ZUPlrUdW0N8FND/D4iFzJdZcwwvMzyst5pNSFCYGymBqez9s6POu1caLITl1PjvH25/9XI7
/JIXYxX6QfNm9h93ecrf/877fN/mxz3+cRF+qfIakcBfbrV/yi8f06f67UY/HJl3//bfbR6bxx9m
tlkTNuN1+1SNN091mzR/3MbnLf/Vlb88LUe5G4un3399hJ9FmZVw1vBL8+u3VfNtXzOElK+uovkd
vq2eP8Lvvz48VWme/Wyfp8e6+f1X9Ki/6ZamOaYmVIkUWuO50j+9rNJ+Q6NmCcvkpxSqYfJOGQC0
4PdfdeM3obLY1g1LaNBXfv2lxqozr5G/WcR2OawxbBWXnPXrHx//21Ps5Xf7J0+1H654QzqGoTqO
xT+o0+DXxZsr3la7diJ+iUw90/liA/3QwmuogQzT+KX2N09QbT7Y6QlqwIBUNT6p7tiaI/g+3tzH
vbYrpZb73mGs1Hgn7Vn63cHBUuGabQmor8TXuhbHNkb2NxI1ZH8oleGYpJCjCKX4hFPLzRNYIrD2
e0xv/SYeRn+jx4ga7Sy8x4d7V2C4X5sm5GB8bRsES/2mrQBf6MBlhsGyV5ERnue+fehrdNAKBq9t
p1RXr86AnzQVLOsnH9QwhS0cfimLn/fH+2hgAoUifdo5jJBghwa/gBbZ8aYNjXqlT+tYBcpiAHQD
jPachNqB3FnGsTJYAuhCtmHR7HzsrYFIn1M9PU+Srt/YsQcVsTK2PG24/M2Q5KQ8Wcm8Rk6QYlAk
O8aV+7hN9KO0tSMDJPV68ul65I12YYH7TKICv7+2VdtcwyguUH5Y0UNo6q2bTHDaVkGW9qTMaWIN
X3rDLQjDv8VDCiFAvWq4YyPqE7AEY4VhIZ8EjRI3GTe1Q2Cr9xmyX3z8FJZwTx4icJ8rR6MUAoTs
WY3GQ1b0V53JDxDUWrwh+mmcnoAzX8XCf0ZxSL8pDm+LFuMUAHbEM7W9GfX4Y17OkCXQgx2qmXVq
wrD6m99qPunenpSWzu9kYDnlCn1zUopKL7S0mZwDBWob3ap3F2kEWDf5qgMjB/OOW32VtcBOdNgF
PJhWcQ5DEGbXoVYQL3ptswc1d/BjzV5bcSAOlWVuGYSTGxn2bhHgOjJK+8NQw0CRmE8oo4+QSiNK
cKa/RxtP4EfS4DQbr1XGlIG/SUBNdDLpRYU4V0oqcaso57yfR7qrvne2k+58TgJ9cLWq/EDv/1zH
wU8L0Yggz2HuM8jNkMVD29PUzDnxrAGqwZxVpgIKNaiH12O9M9y864+UeTaMQF4SmfCulc25gUxv
SF1N1N0amBIcDWkOCJTDZz1DZh/YzrVQewzm42xJjqJ3jkOPU0/uhjp+Rvrs8kPdpA5nzN/8Tj/5
mWysJKpt4042pfjxkqp1rW1Hq3cOoVZADRV4cmzfGHe4H5HE3zZ6/OGv31D92UVs2wL1J6xoZLtv
TgyjU2tcP7yjNuAsMM2ryQaOoc8Xg5m17zHJX2oKmTqhDYNm5AyGmQjzKmc4qM1wTof+c81YWekf
uvbjX/9vPztnHWHZs1WJW4zGc+N1VwSncMbIVAK+hTJsjYTbCvjXeJLh7jQsAxm42QE0Sv/mN/jJ
2+pC1TXDsjX6Qfqb38ChCWInFGkPIBOfYVXeCWqgKzuPnuuy9bb+EMOcsO/++rOqYj7smyvUkCy2
zPkx9adnVOSr0um5cA+igegT+u/8Hp5d0CfnXiG6tVWoM2AZ6J0Odc26i2GqrMpBdozQimdVdc5o
eOPh5LHEZZdemFF+VkbcZDwRw5/hMIlKUJsD9oe6CPgmAc62SMx4k5gp43ghzM0xfJ9VynWmm27W
8VWPlp9sYjPfUu0GdDPAJE10cxehiOXcvIL73W8sEw9CnKRHivcAvLQzIr0Rm33yIeWvrIx6phYM
VDkBYDCuSKywXX2h6xgXcb/x2v6d45U4YwlbQ0JtfWrg5ccG/1kfW/GGvElU3pDuUP3rz0NrnKme
jNHMNh02atiBMb1qKF4mPJ5xvvEkw3Su+zwMhA6MeORnwziimKg8Q7ADay0Z77Quv2/VeVserSsH
yrDV8MwpKbWv2tC5030uPM/hyzVK7YM5ztW7+ekwWjCMS2JzpINJPYgPoMzR1DHCSvQxhmYsxn9z
Rkj9x744V6Qt8KVyIkrLNh3HmK/dV31xT3pJG0zVcPAdKEW9touy7h2cxGmveDjBO+cajPKIUq24
QI8HTYGaPoR5wgZKny6F7my6bdLZGn3trMKVJA4qgipgdNCdUmQsSEI7/OR0udoUsrtoocZJ9b6N
ahUmaIwWZ9dyQ98w4IdklUBOLPKwhRTjS2jBFxwxzkO5QIqJrHHDoDjMMMvAJmGta22yeYLAlgrS
8bnJTNeS1KF0w/mci2MV9DdOPpOCOmQsed3sZaxXF9iEv+KgxCZAGCosO3ByjM7nnE413KhiutVE
AHMpu7FLxlPNoQIVlmMIKFT5wWmTfifJboVDCeUXJ8S2gZFr2PBGp5Ymlq+mx2ZS8QiomMgymE1B
p7w3YVIOVTDu7VS7x1X20ctbLC+18X6Ob1qlSXgbMSgAUWoNgl7ZgLo+txOMiGatXJYTbHACgTYd
Ghjet157lnPw2wrMgD0imutvtag44PrdogYINyYMnGokAdrmG7ISvir9oekTDMNld5OVxjOYC6xa
EFeygr64ytj0xrT4vz1EngEN67VlNJg6Y3UXO4Dkkkmyb0DcsYen2JqGDd/VBv8j4A8Q7hjbpnYL
fOyo4CwtSDIeBuwCBvuu0bk/0jRjUMwBltyMydw6VXe66m1G7DA4HQCL2EHptr7ZvavrItx1U5it
46jalJGWHwfLCTgbOCXCIkfDBAxix/gOTUANgHkcR8XKjyXGcEMci/nhrIXpyk4I87Z1AoFjNf2A
12sVDYjfoA3cRkZ5FkbgC8xAIh1CQI1D7JC25SEpiULxSPK2jP1iIxhh6Qorb2nkDjGn3aEUKOc9
O2/XcnSuHd8s1qkyj0KVCFnU6j7lcl11qnYd9JZy7Or4TK3lBNPLNWMOw6PE3Bee/mAQMGgKRH61
SvAIIt59Jni6UP3jLiiR0ggGKXFMz2OU91k8nEUqups+F4xFQO4bJGCuyUnwaA25tkpbdW+B9j7o
Mc/SIE5N4h2sYQcERPFjsFPog1c9sXHrbrLe5YQwToH2biQesFCUxzQfrmm0rnjagCjUJK2nIcVj
5HUfO5ndEI/Mh6yEOMP84taWYAibFqpBayU3inSHou9W87gzwy0i2tnPDlA7kdYh4LEzrie7v6mB
z63bFhSqrkgAWDDxTJWrGp7iYSRWaI2tC9M57ANi2xAijBI7Y3QRRxG36HRfljk9cAKd61CCF4Kx
s8o92FpDoj06jesF7VcMtv0R7wAOvaHe14Z3SW7ubWYbx+td7+D/GzUsxEp2IYZqZ0bNprCChzjt
nkoL3VwnPHDKlDmGs9YsP2KXuXNq+YnBzbic3HKcx6BI09vGo4XZCdETZab+fWIYm7bxaHQ3exCd
l9PAoMyUWdUqAjkExidfAUC9r5IO+EriPMZ2CeMyHm4THMerFICSCbBrJlN1u4RbfabY8l1TJRNx
aYHc+rEHNm9Q94rUY8DfNVSe5LzLPMwJKfHw+YSRHNxSIZOPOCn53fWHgkQxEP1hvlLMQoDY6d87
kqeJEon4ulCc7GDlNSBMBP1wOJUd+TUSTNxBGRqIsuPao9+I0HaktCJNvMKzHoxj3tt9DalN625K
HEyRzsVc5BJAn97cg3O/VpriXaw10Sazu03Ut86qse0thFhocpN1T2Jqhsox1VdYH7hHYtVZpSC2
97jSjnYTJFvVIcTACaJHL7xjBKxZ9yM3zUC7ZuBC0OlqV6a2bwaCJNQgurNK7qRRZaJ+Ie0gLLwG
P5iD5TAW26Yr841h6dYW3qFGUxK+Zt/fo/k2VrVsMwpSrYtlMOyRQsajsg8HfisEM5+V8BNXeb31
oj7aGI7zgHbyelB5VvsOA/BFtdcHlZ9fCH91LUj4OZp1uo/L0NpqwZhvgqKs1kXXUkkT58Km50c7
Ert/iz900j4Ujv7R1lcSJgsNPJ6bYdeSsZS5heZ/0eQGDeWXVEdxipcmWdOaum+KNJxj49DII5mR
Xv1eKM4XLw0PJur51egpD6hTkMeoOYaOdVdu8yE+tEL/AFXpLuX2gv7Gfoc1MAMylhycztnEPd3I
OHFbx3qOIglPzqYMWnf5e2rhCiBklVjL4DLXgg+e/wFSTpJhNxWxDiNEc/ZqMQxY8uVh2beHwoij
tN3VE8GbaIcxrNE06FVjxEq1hkaAx93HOGP20OIUbHRdBCO9olh6qNrpXmmTXdiTtYg2LSFvjrQN
kM1jEz8bHYIbK4lhQYzq+3yCyFlSX5alrm6FXrsT9zhqEQJdvm2fDZXzPMxvNtkoLqSfPGCQIjKg
wPJR+veBpLuGVEKN+o+NkmN5tT5IXzU+KNU1KKIbWAfVFnM0qQTK5CCm5xbPgEuKRljZE++B0D+K
9mY3G9gKDN+Koz4FEXlD7fhItNBV3ysRLHNq1hjpPjSWf864httlkIEzJVgjcrkfR1Un26PZAiYD
FkiDB93fpG94DCSIMPWrmBzSJjuixildhZ5rre8ongvsn0E9dwCrlxdjwvKto2bekKt1TXN12uWa
Bl8pBgjUYupB85FGMAhBfvFxW3eY846WqdOLPxco0ihuN6Lt+tVgeZPbQXwbQR3tIWaRVZCIwjVL
2t/NlF+OA3lLpJ6QqZaGCHKTSZ2/y9a1G2ntW4BOpeEfGGw48+0Uz2/SXAYqCTz4Dx8qOw0RnzSN
G3qSJ0cPpSKwgtmppCLskUguxYXItE3Wy4JGpbyIJECnOL3nFOexq8cAdX0zWLU+rRGDsnappDEG
iOZssjHG19g/gcI9tVV41U+pxqhQ9mSoyYWFJTSk7zExiux5wwXNJIrRVnDFiPh9Vse3ZRyepW3+
VPUD4wUg6DFx2a35SXftufvZOQ1e+PxJJv6VbEAvyT6l+2M560hFuGTHF11r8lxv74cWHnjVnnXl
3EzRyYYUE48+imF4T2Cu2Yx+jDE304Z3mcLU2BZO+ol+3+gaoh3dXgOV2oG6BjmtpilgEy5XmenH
DqKbW2CBnjOo2jkeypRgm402fyDUeiYzEwoU80PHtUEmGZeoEuaQm0bbc5eXrE/IIAnjS9rd3s6b
I7KmlttY0ht7ijSlW4nYmWCUVOaqrPI7Ur2AldBWWX7dZWo5V8LJQKk/erSzNYxLe28OFiLvOHWX
KRuhPGUeE2Bz4MArc+5MWaGuSqfPZM6p0LOCY1iJj35E9afvsgfP9vbZXNAQUfwcdd4dHaaDnkBi
hFUF296/d4AH7EfTmaGTxiEceLplgPBWoMBde6S+4zc9HdeuAd7tIDdOacRhvMboSdNtreNFVMhe
2RoSrsbYH5caZhOhv+uAOfgAn+xcpcMWGrupaj/Qa6N5JLDEmdPFnP4UsULjvrntTbonHl9P1UTP
DBlzv4RRPXTRnM/OB2ikQurBQHrKhBtep4npWnQvKwuYwTCOkmyp53h+rM+lv6WT6KFQKEwgODpa
LjvXVQgtdLmnjmOrIbDstGuOhUztOSONjFdPu0dDsnVs8ifmEt5S5gJdeVeK5FM5TbRrY0SZIom+
1F78rA/T1mqSoznw+aLqMhCKtu59sF1SiIA4WXETSZsaG8wzJNTvlK7LkZHzdDUDFa8G98Mtfkel
QCJVDP60a7Ni3TXqtFFNxOqmvPIAEPF4pgkXhcWj3Xi3RpUdolG31pUWH6ykfWRUiryLTh4TSuTn
MjxP2sTepJ4ED5fJdWBCtraopzaPdU4Paj5jgJ+bm3KuY5qT3KbBriMmkm89LbaGMWz0iuxLX9gG
ZQTK0YAE4KRkIjkOBtd4O5cV+zxw+FjDNdGQXz2TikDWj2eF6tNe7yhUmFH93rOLPdAVOqIif1Db
qQYz4FHDiPuzSpce3HGe2n2lb3ONRhM19wzLmCXXscI/ZSrNFUmWOXhTlYt7+XkC7jRhQAqT6UWk
4fLfdlP2IFFEIHWLP/VG/i5yiHKIQWBvFA9Nlz7A5JkKLo9Yu1Q0G1zXrK/HNkuGp32jzJTMwaEq
0fCtWKjYwHeHH0nmvlY8ar3LWRcPAQh00QEboXXSD2LN3PM00X4IupdCSFxx8kxwnDi9cIzP9UUi
ce4SpOGcFqyj11ZyQh1tA3Aqb6UFc5d6rsSAI72uKkAaxUx7JvGBQtJTqIhLxJ2I3yLCDRxCuPhK
w6jstwSozIVKxAAzBwNJ1Hy0PH6kbZvT8OmCcyud67j40lZmLdL5BEclHt+mA/nlGChA6dGXS0Md
6aFI5AY0aQNMQL1ICgCZFBsQHGkSRvL8cGv4XZfidkYxjsp2f2xIRRAxFR7FTLNtDv2GDIKU9kIf
bSUhRpiq9fCgNmRLESZM2Sg1ji0qLjcfo0++ThVGVc47laJEFRFmnuo3ng1GifI9j+PAOit7NdjC
9iCcuiNqIA3rTU3u08HxbgNURXsyXbloGQuj+5W1eboh5CDeJT09hckZjir2nUoxPvgMPdArgKCb
eW7jx597P+6OcUvEWGJPz6m4b+YT2MBkvFac+FPYEwRReXSPM94kpm4Gcuy6x2mRalTnRERZaTLC
iLoQJQtOPOoXJGbEZ8uYDNaYZ8or/My9fRcm8jKZjOva47SlAVUnabO1iO+AFByvlnNswuW+geS1
U71y5NKt5Fa05XVd6/QE8vhZTNxp2+pC41a5EmEqN94IShtt2JmUurKhYC9SOGcSIPnQJZtU1NTV
lOI4xuANRcBP5+T1F6i2F3MV14vPmxI0e+e/F8SmwumEUJ04BWafeq6j0Qr2iZEwPSPYIP+v+IT1
U1nEFXqt4MyAfkGvRFMPkU6B1CGAROGesg6CSaX+wFBb6ncEQ6Oq3vbhDbLix6rsXB6xjCuPRzr8
504PH09QMYSuRCtxoJtTE0K/l43yzgdCk4fHvDxUQgKJyEEQ9Xu/KPIjIwXvcSFdi5osbSpSqoxw
Adtgfyy6HXs1C/g9HswmpTHmA6PqzY+VmjDQkYz35mQd1NR67GzlS4VaBHOyosPzm3aldjRVmoVh
FFKKMrR1Rf+mkNH7gkgB4C/DJ8CZyqru4mOnJedxqtKvyVTAKzPYuDPrmSx+MBp5V1bZ2p7CS1Em
l9pImGYuQnwY4fnkRCYBqtXBqYR/VubmZ7VNPoDiOE9D+JrOnEATJZyP1hwwI6B7qiHOQm8iN7Mu
LxVHL/eUbKMz8P/ORhE865q2oyUc52cDYlzXbK5DnXrmCvHqOKXjVhraE6nWqG0Ymp+21JlJG4RW
4i4vvihbQIff56uZ00hokavUuX1WlWqFdNi/qfgP8BUk4xpRgL3uBmU8qyfQRFNcbkgPoyA6CYET
QhsJJcJg5C7zTgDpUIMQHgPcpLqoZeceA7JEoJACSCqwoFhAJo70t1kvcH0n2mrEne422Ic4I+bJ
wvClu0wtL5inGTHl2b1NmlG6y4vXJgF9XEA/SzLlacUUhOfU/IetH1EnrHKbnBDt1m81eIkbn7C9
lCsvzuUaG2B7yHDdh5RM6RrXM5zTNs7EDCrMeWqvljS804vhkFCi6e2wBTuUnSGGcJdC8H9ECX8j
SpAa58OrmvmfRAmXT/0vF09D+CV/rWX4tts3XYIqtN+E0E0DrLxAXSXQs33TJajC+Q1uLkIgYes6
whtWfdMlaNa8k0DR4GgWY2KSMaJvwgRN/U1jGBWfpupYQqq6/e8IE2znR9WXIRwHCSgjb+gcaK0B
wfyxxl8yjDP1fhad/yfn1LZi2odkwTb/x3JOESCj4Pa8Da77r006XuFt7jcg28EUO+lFE7TwoYW/
G+tub2cZxE6FO1zVhs0+Gbo70jooiVTz6E561wY0VouguuxV8DqjVcIRi/wrQMNlU4Gxj0FYz1Mo
sYh7UtVHQjm2lqaEjLnrHVEgMQM8MUE/kP0RbVBZTOocIvIfOb3gzu6TCS7JdJFJ/WEyyKmFqxTu
4lonMeJKz7Gsq+YcmQwYyVvxdNfX8Lqemjyrt4DEW5c+L6X3ecr5PnVaxsA3g2+n+WWb0+xpv2UZ
mE+a42A6t9XYFofTdn9zmLerl8P6CBhpys7/2cv6+KyaourV/wqyhH/uzf+wzP77y6rCMdYxbPuX
4y0HoKT/7as5HXRZBtSQUT/D2eXW7s1bvXwFb76mN7NDhmVPtDWBG/OnC3q12Fe15yZzLHA41zKW
F4pN36biOoACe5pfVlNkj7E4zBsta142Ou3JgNOepmFA4mIDj/0nh32z7PT2xThTZ9+sXmZP25z+
m6wpm5UiBzSn85ssK3623el4+IKcXRU756dFp11Py06f7bQsrikVmIChXj6uNK37HDbbLijM3FVy
Xoo6r+iiq0RBV7TfJ8YYf5yUNmHhyui/g5Wq7qRZ1oIGD9guU/GJA5yPcTram9nlWIyGR1wU84YO
F9scP8MkQ3VEcDN6vWzzs/2WZS87L9ss/8jLEU7zp73fLMvTQR7jSsyNbEqWhfdJ3/ZpVriN2RVu
6CSDeJkPE5MI9GXVq0lj9Oi8JQFIvrerivaQauG+mUPWsaJxsxiz3sHSToxtPVfVCLkjfl2dHwmv
NvKXTZd1Yr7xnDZdZlukhjs4FpdRm5QuBY7SRfRSvLzUaliQzahUxNWO9fWyYtlumTIgWUEO/L7L
svNp9nSYPkSBvswGGFsBCZK3Ps3fTspoqLtMLS9G7hDFZ5M88GpFUxN+G0PKbNW4cblDv3752bIm
5r5LNs1SaTzVHOV8CS7LYjA9GKfnqwBoyKHQO3U/NLFDy3iuKI/ojIAwhpdvN37Zb1mqLJc63J1d
JFF44avtKSrz0nYe/33hI5EKrNI15xDv5YURP26K8+yyAgJ+mTD49F5U1GKW6vjyIi3RU/GhtrU1
HP8DMHAkGPUUrItaU1y6G/12sCmx6qoGw6vn5mS03P56ncfD6WVZBsT5s8gGdauHcnJfquNziTxD
v7TPuhr7JrTMuDabOeILXluDclknln5sbcPt5xd1aMa92ZougkPsUF4nq52vTzeVlwMFj3KA8/Ov
v/y+OJA4fygJUemZF7bLuWPMD8HkDHtoyP6arLh7M9bsNT3jWcs3sXwxHiMp5FJaBGEL3XVaR3eX
qcCovk2NZptv4xbeYEpa7USSFrcHCSSdiOqS65rxUOaDnDoSMdIbzM/1QQ71xhj0qb/li8pdQ1NQ
iBYW2Eyj0ogyqyJ/C9iaslbAkMYAB42Ig9CheNIqEA4Usgxtkitlhgt3UCBKz4Vqva7BvcW2xrU2
zy/V65eFy/yyZnnJsBXF87CmXGuAqoA4zvOn9a82eimBz8eEBmLupGwuXg7JSBCpb16EClLRbm21
T3eD0sBkFEjNXY2GzcvLEJZrr+g1uuYHU/WxZ8/rlxetI2F+mSLyAgHOMr/sedoGxxtr3mx+2qZi
DGUlYQ6sl4L98jK1sDRWyyRnWcDJLLmB/3T9aPrU5HJQyW+2Wbb+F5Ytm7y8y7KLF/ZffYcYkNPb
LVOnj9oNPdTLMXUArfNFLN/W6eO+mV0+KFgxY7pu5qfQ6UWdH0KnWX9+gnjzE0VtPGKmBpMTdn60
oHznaXbacJkiLojn2mmf0+qXw4aJlh3eLGT4hMO9edtlm3+6zDRi4PCJRjYkoipJTcZdXhq/4lBv
J5d5wqy+bfR2dW0Y/JT/fP2rg77d9NX8y+SrYw9y4KpTSHtaDv2n9cumyM3zY61+ffUeP5/8+Tud
/ul4VO9Gag8ULfgyXh3jtMmrQywbvZ1fFr7a/WX9q0NpyV6v6XdFSixfvSTfZ1N0FnqpjIdli9Py
0w6WLkjqnJJPp0We3kiXSOcUzvk8uaxh0EF9mcpHBqxSRpRoqrrLyzAyQDnNL4gbccovk8vCZXXS
FB06v3nz08IAVuZmTEA4R6fVZuuUgqDAeWztdDiZpbUr+wINxjK5rH95p2U+qqY77N3Ew7dzLNtp
92Xq1TFP774cfVnNz32jqBiXgX0QRFPJh+VaOV0Ryyz6DhW5x3JdmF1UiO1pK5EW5PqFtEJ4nGZu
31W0fYKlBdTPbZ3Ti50RyulkLaD6odR5FBGR6UY547nLi9LNgUXLZDrFBpE88yqHsDkjdAen4ymT
zNcMtdXcHebm3Gk2HWCsuYZtZ/tRaWu3toNPNHZ0kNmasoWv9DS2+lePB3lC7uCAwm9jqLc+Vmk3
b7sP4OPSsxAMz65RdTKmdeBG89Mq5jC5c+Y0GiSc+dM1P76gacxcIguDrc7A8UppM/KM4G7jVqaB
G8Sai9a0OJqNtYbhV81SxT3RivcJn4WhqLMadB5DaZ3LuaMizNzaJtInxdhEFSFd3/uu1jxGulQY
0sHoGQdEd+70JHT9p2D3r7iIqO1itfvuNv1Tve7/JY+fH9PH18W6l12+1eps/TeG0yjROTYOAc5s
7EDfanW2jb1IlZrFiD/0Z+Txp1odHiJhGZTphKabpuWgkv2jVid+Y6RDQzlrIuQUmqP+O7U69a0c
l8PYGJlUCbRbij8ZNCO1kHqt6cqhSRsHY8//Z+/MlttGtiz6K/0DqMCcwCtBcBBJkZJlS9YLwpJt
zPOcX98L8K0rV0V13+j3fjANkiAIkSCQec7ea0+JZ0iX+N6xPFQhv/wKmV3N8CBskQxMBKXSQg7S
/2Dl+MfdEEtdkr1RHcTof60YSq1tZqTepH1X5ULz0Z0TRvs30arf3aKjmJ3oZKFVig+PRHidihAm
0ifj8NtX9w/uH40v4y96dT4NF3GyYeqGi/fHWlyWv4mTHVNLWncwgsPiLdkGmZn5s6agtwk8YxDM
GMuX1A5uduy+4D9UaFl1qDFzQh0LCCatMRDjA9bC/w+7ZZqLQ/l3IT06aXxomoWG39EMoS5f4287
NqG8qElzDQ5QAgDWqX25N5P6qpWRc84Fc7ZpMpHKYoS5ayRqK4HLkD6bblabuqX5Ngwo3i3bZDyE
smFAxXbWpqw5C7FPyd04t4yhD5abo1rRzfP875usEvDfrTHdVrMz08YosSi40XSFAjjfxcr8HABU
PE0BUgkjVspLOHOus0v1h1I79p35YIWPiHZ6z51GdBaE6ypyVI6hVvx0A4QypkE+IFhYv+3ag6iz
S6ChNbVVAwVpk3YXNW+/DxPtSjmiDVV7dJWJ/ORAKN0p83sQdky+knI30WcEszmM3d4RWbnFMXMK
06PmAC0ZmOrZubGrlfpeJN/dOb2ZyRiRO5tBYkFttDFgI0GJHJ8Ie0p2Tt/bfuueVMSPiQ6OI6MU
v9PcZFHVEmbjjOcyThME3wCQhpZL2+yYOx3Gc5AdnQh4VcJupTnKZzVHqWXX5Fu5P7rlCykiANrx
c27ZMzPaPt/KpYFoJ2ToSlLXx5a5FcDgbdw5e87hwb6e4x/4Regc4kwiDuKnKOStdAFWGMRamCgd
pqF+SD4VWf02irxBYVfQQC4h6eNJvIKo3sgqRnuFJK/FdONZBsFRAmA+Op49eaNEGfT0lRUC2Y1G
v8mgOYgiJXTHtT5pWLv3upYch55qbDg0I0VYlMI5Ok19sZjNde8rE+SXaqrf8CfvAnHTpHgNhVR2
NBhR10bBM/z6jEjxCdmQoT50U3cv0uyHRg110+Ugx5pcLuJ69AoqGr1tIb5qFeScHGZAMcfXRH0L
h8rwUotcL3DyUZ7yA5hUAu3HHxO6cAtWDVFULpNmAImbpMoA6zs96YzFdOkxO+0cemI3My+Ia26I
KnZmgNBNU22oCLzPCPS8GfqfV87jz8zWTUx+c8AcefGU2XawJZAsxycWdjsjDsU2MSvrUgQNwMIx
2MY12n7E+nQ8M4PxgmFto6VIoVjcENlF7XVdVBcd28dN3kUWovMYQc3yBBqJtznOpJ9T/+PTjK52
2Fo7YKTd3frQEEJb2Kz315uuLz7DXCZU5t+rrEvp8vr1FR9PrI993F2XGmuS+0SxDv1SkwJggDZ6
nMxnwn1sf31sHb6sS6YuwQvO2bMeFRod1nUkF5uLPmV58bqiRm7PpsQ+t/0YBZG+FUmY6gyNOGSI
ceAjbTyG+Mh/lhf+evDX7bpW7KaI90eyIda7fxtUSbt3DIJNl5f+ticYYqIDlja/a9HLmrWW/NrD
j31zQoVa3K/3WR+d151fN0+CIDu2Ltbr7nIKKbyEFBbTzhBhJe6PnvwN6nccnkqovY0pSVM63Lh9
aHUgI8L61EWhsyPv/YbuYT+OzBkIwNw2UwPPn05GbLbfYQYOAG6/2LZ+LnKcSGMxPIhafjGNHmw7
XsOszD3XovmLjAZb0tznB0O2sLGNST0qnNjJuA4dgEbNIVDDR1Oxdd+KkQEMInkk6G2T2MY1SFWM
q3X3oIcO2Yygd8kk9EUfGShiGnMbLZHmFsPzPe7l+6iYg3NRvIJHuUwVdoYuoYrH+RvhkFv96AbB
RNNGbGIQJhToDcFIVkIYvKp9AhcR78uhulemIEIkmx3NYZZPulHuA6V9h1TmyxgDa1OMkwchhG5M
WD8U4Ks2U9BO2yoyexwAJFuScmbhfEBpH89VuJ0lgCY4FUGH4kQd1dZvI1f1Qc0Saz8h6Y1nxxfo
Qjj9yiu5RT8wwVhf6/5qR325jRVD7rrvqQjtM5jMaksMawJBaur9vlsuWmSBUlCVfuMs2tceHDCB
fmq3y13iHGl6z6BWp8+zrXE5KyimDQTxkiB2aieCFIQMD6M+B1udxucu7r83Y/7DlPJtUJvPltIU
j8og6oOuuAc35VIXgrO7FhlSJCNshaf22NfMn4z30I916IU6IK1DhE+lTodv7QRWTTS95hkiLn1S
qdCzNPopSnHNuAgOWn5hDbGiQ0cVYSBuSJGk4Ob2gnAasFIF/bbNbo6K4ETXcLdWVfQzLqnh1hqG
ivq75lTjbg4dv6qv5H29xIR1bXVBdruokemK3hcjNEu7/4ZPTj9pjkWuS1ZPB7Ctn7SemJvBJCcB
7eCm0Ow3Pa9/2NOk43Stax8CF/lLLsjwsjpp9nTJHNzShNTeUxZDF4aE0dIp5GH/qzyVFhodZHRB
tbFrhYGC2DrMln5Os3nPEOOgUmTccmBfbT2ad2rIeNO0Q1xH5U7T9VPdD2ge5khs2y5VbiWjmeMw
/ZAU0jd4GeQOtvsO4eZrXKqSnPVs3oTRQxbn7/zEjwNQpDgVOcokC4tIviXE+HPQFQmjuebJJshm
eMTB7ztT95gH8CqVRv/WDNXBwGXtKxX8uNiJXowYw5TqYEsqJDEQ1TWRiB/roTwZOheoKfBSF1HK
oOjZOW7CmxpBz7bk42Abj3MO5TpYxGrONJ1g0+yUIRQYmG6M/I6pFeL/nsqDElPqscMJeQp8M3vJ
FFKk8RN0FscW2LeS6LdC5K4/IN51cvV1qskri9zq3SxSklsEDaU1DqKOuYph0h5dEnPcAZgq6Qfi
YhvVdUrIIubyg/B5cn2gM8pmOqKAvUMZenNEfWttZMiTYmIrTL9OwXhBYfClSTk1uejuQCHXzlBx
1p5vUxzyQc/OQ9C0vqUNT6QAhBwehP6RKoJ2XHEfRYAiJsBw4UUhjHlhcRHGlYb7SD9UYngm4h7V
JWaTxCDWd6ASglVx1xVYhXGMnG2yWAWZN/YQH6JpPtvdhNNFUc9FRryVxOjQyEddYmpxdHIYwqB6
rYyUvB1T+5KgQqL2bDwJeXIW9WMcRBeVLM45sX84k/ptntBfBp+ReN3h3FsSeHBJl59CN8dnmMxn
XKjfizF/Liu6s2p8cE84bwYgmIIYd1KX77HNmNjO4Z5gCrIN1DYzs6nlmfWxX09rmc1YygZRWVZP
NReZQzboL+taQZU3ftVPHZCAsL0nu67f6yqHTaeDrQoDgtTQ4Bb3snDnsz6ZG4kR8Z4YOh95cO5n
mPI3qe0uWeA2vZKm4teokxEpahd8AECxjYmyDcvkT3EYyno+G2Et/Cgu4AYHxxxy9MVAaX8ZNUZ6
pdSmnYBpRIdJ92zJJS0gUeSiKU+xEPyFy56Yaid9uw2QoRHS7aWDmvquQZec3OZt1VvkvMY/w04W
18kouZkIRTOH4dsYNZAC6Ojwxc/VNnWmYGElGxfEW3RxjEuJv6LTuxwwlP4DDzHSdmV6VSpjmxFn
zRQpOCfd5BxzUJFUnux9URAkY6XbWpf9vZOnsU/8+k9Fsa+pMKY72YXXUTcMLnqdca8R6opyOru8
qQSh8JLyiMH3qJcDTRqruZij1t6Hk/pgZXgJQMPl52rOt5GjtLwWxW60fIlVnie7EJ3DRtXLEtco
8mmnHgKvsobj3Ag/zBd/FMF1vVm7x66u+vu0HYt7OLBjEaT3bRLV+E7qt7gM7wwz6E5IDNM7d5KP
uIjne5IaoV7SpQrz9Gdks49uujfagbfJObJSaQFJstKLNszLENx6rgvO+1aLaAI9YdmJr47Ft5I1
E+Jmm+QjvVGPQ6oeuC7Nd5FTXLNUC0gYaBrPtAqkGhJBYOCS3aXN5AG3ZX1y5+hYdM54ny03rj7+
GB08IzmSOHKMv2QugjjrQPISk6GOkYsp0hklXtARTB+/ueE0HkiYT8+iKbE1qnD+kco75XTDNQtV
lcNivFtvhmVJKQFmw8hkse017B/rU3gBHC5SzOgwb1aLn2BdSiKbwuLH/fVBs2pocK2L0fr86j9Y
7//jgy2G4tSQ5Pz15fhbT/Cj9fXRE/xbi3BdhfzZf3UM17sfrcSPu3/blGPOnKsQITImo9u4boDz
t6V0znG1TigqFb916ePmf3zMKZaq8j+9rl4c4naZokWV1a811tUE0Efqq6hKfr1JXlNCXu/+2tbH
W8W4e/61phmd8mAwjzUuGVUQgrO8/LfnQ3MpL6+Ppg5plb+937q9vu9fGwefAkMlTC7l8p5pTRSI
vy5mdDuzUEeEozIqCJJrpBTZosnOnm2LCMUy1K6j0mL3S+eWkMmKzKmwJZAqHUiqEk6wrWENAaOH
0pYQyzgtmn7JUd1jpo/snNgGzEwEhSLxNQnM2dWkQF6cnLAMfE9w25e7Q7iI7JWIyM/ImnYjspiz
1hpfEkg+e2kwlc6sAGEzrpZqS1D2ATWldqQZbZwFUEqpNp8EyMPITA49eRHnJIqzM6qlyFMNrmFa
ZNNUb4ej06h45VygWNKam/PM7m1Ckrp2M1QIfFDnebj7zERc4sFU5HldchqdQULpcqVdnkAZJc+F
4dzR5k7Iaoj/tVooNXk27Jl8K03DXGbs64o9kdbXOLeLSxKXKR0I5gRtimmvMoIteC6cbh1JkIat
3w1ZgKlsuUFmfWwT+pRJXWsQG0xM2Pemolx0Zip3YVEbJ50oPy5sfEZskOn8AsgppzNn0+lshflT
rVuC8zJrNKEynlNlJK09hWTQZvaSzIqllwwCKgxT/EXoTXWRDpF4wPhJhjSL98glXjXoK+RibX1w
IqIvpGqdSLQ4BDAL7iSch03pJvnenuJvQY1+ukvil8a1433olFgjM0c9r0vrjTHOJLdYqvT0DDAM
NCFMZwBj+QoGmerldl2rmt1iR2Vm6fG51qnOC/sEGOpQEFu8nTXx7jKdP5NNS7hR2JGoyr1+OVKY
X1CnNKF3fDwWCUorxAK0w/hYgUrdJDI3z+uBtS45wxjuEgsBMQL3mYFjB7ystw84mgyk452xx5n8
LF1TR8/rTaml4XHgqfV5e6yMswOnOcoY9On8KfE4+qFayiOKrrtqLruTQtd9IyySwwEoBWddzZXz
upSFeJRiIy7Ia6nI5zyLLm4PcW8BCzYspfCzrH6WvX7X2ATtwmICWo3C/ozdJT0bosMmvXexqe7W
R0kvaLaLDwPZj5Ocxb/XXFdfb4RzSuz+yXStdNfPaESMIXe35syVmMgP9RwtwFxn+Qy75aBfb7Q+
Lj2paRXX1oqJoJVgJx//daPEIY6i9f6vRcJt52XWXiAskV/WJ/rlJWXSoxv4bcV1cd3a+vx6l6AT
UoJSA9PC8pqPJz7edX3s467b4eEnjIIQgr/u2LpeZbT53dw/A48CR9REcfrbrhObxhTAdHfrqr/2
7+MdP3avXvc8G6icBfQCvPWZkQPONRN1/7HeuvS33fvb3XWVv+3Gx186dPF71teXhq7SPjQzlesu
Mb5WlX5Ke+AQOCTxJ3Xd1sR/cispOB+MyngpM1O5Txq98EIqP8CnzdijK2ZdXELUR0GkeECDzFCn
d7VRKk9ifgZMYfXbwso0eGC6fqb4CPFf2gdG9dHcSRpbzzj/9zBCDF9v0nedcS6dL9flJMVM1yS7
amPw6zRD6rF4MzAfWS39vGJPl1EQZdc6/jhO8g5RDSHvXcURrGt7swfiWcwqeOPsJWJes6e6wXTU
mMhRd4R+ZCcwV7QMBy03cXaKBjJ9Di8yKF5zdXaeh+hb1UU7kE/albzBvBmag9IMD8XAebbr4t4j
xoD+nDM0cL7SrxGeY2ZFkgzEmkLS2Bvv5KO+r5CvpdLhD0kXE5CbAFAfvraBc8st1d7h1AgjkrYT
7Zl5mnXK5syXfJc+5/PAD0qNkqozQsFxRk/pI/dTAAXPK5OZMxFWvhIsDY6Z8MS4n6htu9pJoCqb
2jXfLBKDvFodjxgi00e9TC0q6DC/aJljbVFJM61I3ZoaHiqAT1MNnjzNxBIke0Kw9FZ9G+v2tVMt
iBozEwtpGru4epGJFX7K23TvuLq94yC5jCOX/9JMbiDj4p1opitZMvcDpo4NP2XzLjvIyUyZgimb
vrObB9Xt/CbFsNQPSnEgfm48WVKSO3olpL3dE0FyV7qmfZ6cWQID0SMK0H11370mge2cx2Gunjo3
vusoXx7LITFx6QWtR/HL2kVED3laVdpXrAwm8e2Y/81W7oahsh61JFwMwzZWTfsyKqN2CdRgn1S5
cUd2/LTNgsg51fH4Qyc3d88NMMs5m4HCjb1P7QxHE6LDfZBjzSROsN0Qiq0cGZAQqhspfsqU2Fdz
tfMSoWg7SDP1hhqZ8lDN0X0PsuZoAyrYYu4tPKuv9AM2sZ9m5KRX1Syh4nFEUWkzKPKNOGLCfucq
w7gjwMPywcK8MesDNGJLP8VYdyQF95giUP7Vlvt/l8Z/cGm4moFl4X9u+v6Jm/yv8ud/eWXW52/x
XzrAv17/J0XS/sOFOkwT2LENItX0jw6wEH9omnDwXBgGjcfVyPGnW8P5w4Vr5TquQWMYbBodwT87
wM4f4AkxbLiODUZp8Xj8HzCSy9v/tbWoqpZqGppF1dKwjeUv/721OGtFqkUEhxwUV6doiKftpyVP
2Mp2KtUkLactYyZbPM3bQPvBuZbRzKceY5Yqvy8VvZZ6d0wVJsyTwzjeRjKm4mtXv2hkH3fx7beP
+R8atASn/cPe0naiR8vHg2flb43ikq448SYhezuRehrhp27z6qYKxj+B+YKo6Ix9zcclvTTrlFx9
FNT+K3k/OyCalY6yJT9UUz/IHJ3KmDKaD8CyOrvRsI+zSfDxSNUTnEZfRBv3KowfbTVTeWaEFVzZ
TF20lBgDLyyq27I5Bu9esDzGGmkz7sy6fF/WGehkdAA1lrcryYoZ3cBTgVgtb9VBGVmGbqBqloeW
VZZN1pW2X/ZgKdMum2KWgVSlx+rwbrL1P3eqNovtsk/LDq47XI+7EmSFLXJvWSdmcyHeygDLQlCx
LgiQwG02eqzDCVG4FuByJPs2gLoEHmLXhmQgOep1WSfKbb+x9jUW6eVps8g3JDJs6mXVkMcSnSzd
gjnD1Uyno97nXj3wr4HIxKvN2D2oefBqt3XmL9uIy2JbRxWTRVCIvLYmfp1Tac1ejbl7WTanM9Ya
2oNpgFjgbhqPDzVrl92cesvbjp36U3caJvS9Z5hXqz2RlkUcyiEt2ADvse4Xb053fPfnn7q8Hw0b
zs/aHrNxXQyH5SnTiNb/p4OlvrUJZCXal+sfwHaI9WLOGu+Xj2f525c3X/4GU0lw0hKRvLwXH2Gw
LPMcoH6cptskfVLZtdkovpgq3vcmImIjMxc4CKMPBlE9cpwQ0hEJZFxobon+FNj5VoVOo4KqcPFJ
EIu03F1Wbmk7lK1DNEezUekF1RnUwmTY9RAn+54ILR6Hmk83P9gm8jXmPZbttumwiwkKSdncsgmd
ZbcTlDSIlmevGAB5f77U0ZeQanOT4lqOY5PCJkJhNlsvm/Urk7+MraUmVtNY6z6RxbAjlw+/Pt8z
q47Zzna/auim0EEchnreDS7y9mQov+WJtgGl65m28PKaqXp11jECqETDfRum3Gv69HFSgic3hOWf
GdVr2lKz1GwKy8aNzO8vY2Un29gyNtCU9jRMTu0sLnWjLVgeryM5VkT6pZ9ixo9OT3hTvR87Or+6
4zylxYveLsSUOKjheQEqm9XxnaDabR5R2Kd3QItbi0g9MvyWonQa974xdg8UpIAktH5PynucGiSB
JuEv5N3/X0P/wzUUtdP/fhG9RvFfPY6/XvCnbkr9w9JwMaoUuC3EBr+xlxdJlUYTEKi/5aBZ0jBU
/sle1v5wBYEzXDQBjS7I5t+vmmh6cNyaxp9qq//DVdNclEC/C3KEy7VHtyyhGVzSQTX+9aoZjEo4
RIVlHYuIjiU1PU6gzPQHGl15HloE28xe4rw5g/ZYuaCAMtdMt0MLtI+U3Z1lwnLsRuKNGnM41kwi
KzjHxPQkcpc6w40ai+XBcmboK4Q8FIReW27zUGk2fT3YFht05ronF3Ckkdd+GBOsI8mE6vSUyCIQ
D5b6NU3hcIiCeX77VJSMISXsOU0PPdnqd1pLiuF/uDb/w0eio3Oz+FT05RL9N7Sp2ztNAHTVPErY
w4dQjw386Mp9Rld1XyrK3i50HYYwZvlJGvdqGB10mb4qmo2kscq3zcxf2lVuisAIileCeX4BlrQg
UPS0tHcOmBoIWfbLLOzq+L/vu8bX97cv1AFp7GimDfwZMKVp/G1gEUR6Vtl9XB+DMHjJ68DwgAs/
5JOtblDGlftZatdifC5w9nhzxfmtFvUIR8l5LhNl3GtNaJD1l9neOAKcEyUcj3E+9F3q2xNnxkQA
B25jonTrN9p1gnwYEIylE3oAJadNa2UnI+N6m2OJ03T5EGs1KBql+ZFbsCQgj53qLM78qoTPD80A
TcaF+KJhE03Oiz6En0XVYUmMtaMq4XAMNrCeJD7Zzi3EZrJpK1rdyCs+y3M2BPKgDPoxVwJ3GzvS
9pTWx4IQAtUiOAaknirNN9rrNZXT4X1G4VE7ppfzOm+Mro6iNX4bKmQU25AS7e67HpGZnjHMcpJg
PoZZ2PqRnh+gqj7X9Hs3GojZTZlyGla+VHVne4OuvBMRhnxOdNY1ynpguIKuweDmmy6IGHT06rke
OVrwINUcy4Khmf1U6GDvIAZWXsdGlDKsvbg3H9D1vCNbSTb6OOxFUmSeO2vf0vlpGlKuc5P5zVk0
P3Shg7q7xZZzMtWK3lkDfibN21OaO3Rxkq9S2r4b0HAsm+UqaM7wKfKWdF5p7NQIv74l9b0oSDFA
8OVRloYXJ+stpd4XEs75LumqeHU/TX5d6qROONuOTMOcOaKXd0UBrgOSRpw5xlUPehKb9K0RaOcQ
DdVDqnwC25seMnAYVB82pILoG+o+dOW7t6DpFlqH3OAg3tGs+wZ/BFFFN6KsVodiJ0v5EDoFbrNq
/poPn5thBnIKEquazdema9/Amvpoz19oNsMl6orvVDke9Aj9kxbHV1R2Kp/j8GzX1VdpeYoJD6QT
qBKkQuiF028tAg0rqRabCeKbIAxiKvVLrVJeLxN9D64Jf07DkAsEzl6ghuT46YnNLrkK12Aw1Kje
wVXbpN2wkCD3EVVOOu37Tkk8ZxqPbdq8C/3BcAdgcfnnlhQOqpjTN0Wz/Lrv71Ij8WXD10IZiq4k
JSS8d1NY1htnFuixBUFlUX+EVQp2tYwY8ZjPTiqesjRGgCXPSRWpfjQl9O8S5g2AgD2ica5DXD4m
NinGevs1yoY9MoGdxS9pU0T9a+ccjIKpTinskeHIodU09CduoDEsA8HmBpxY7SdZUqoW2VvrOD8D
9qWBtFWYxjfMZ5Wnw7XeUlDy2sm9xYP1kvB9EpB9TYP4hOB73zX154kGUD2EN2FZ74HFH1CY3+BI
NXuh0bcpgkcnqS6Jq5SeGib0Eq3HzGx8AhKppehQwIg2jjyZD/s81H4U/PI2TjS5THCyz306YzhZ
RPO2gGwDnQuDUNlsDIxOcavipBIlmOBsp6Up2+gYPQ02zbwqM65lYW8JPtuw5YdZOLd4Sh8Se753
DYUuvbvVKgfTgtWHvsgGTtcuxur2fmYExVALupZR6kdKIsdkGQ5nwZtu5WeliD65c9d49jx9htGs
b5fsQqYp6u3X+6ad3AY2RfwhJO8r+ZalYrv8vucWFFDDT6nJ4yPlId9IVF+babiY4VdoKCgcEX9k
eYgOJqAkrBgVRp9bUGkPyxOJK17SUYLWdd/0LngM7WzbjmB2Y6pE6KFfHZJgQ+cUpEfRuiFhdMOL
PM4qEsBac2mSEEedofCIXdWLaso8o0KatYqGqoSUuBE2kOQ4supdb0dPwWgBi4n7Iwpn04s6G0yZ
horaHK809Wikas8GhNykAb4qxL0tyufQbU4pDJQu4xTmSLPe2t/o+cfbOp7O4GlhFZJZVvShFyXw
a0UB07LqUSX1nXhq0aVsLC3yxlkmx5GCgUdmheMBc6UNbXwx4M1mmYYnEXnrzjCNa1Y1XwKSa21B
XmhYiC8aIJwkbb9HsYDX2RvfiYNh/lWg/WKhCeJ8M+RDsz41u/VjZbrnwnW4BjqoSyLjVWfyj6mw
wJdADdeVGaeQxZmXl8NmXlhMKZNcWw4/J6N/QDntTWH+ZiPgvEMNQHfYtml1YIQKY4ipSFqqnT5b
17AziVDJ8yPll6dJKQmlUmfOL1x7ZvjKVqq953UzbIygBIk4OBthWF9RiBngjPVvlRI8NxEx6kEP
3xnpwW5iroTUPt4E6iVHYLXRdUvZwK9UvB5FNSh881Lp6X6cHbi901ZxxAvAY3fTE6CzfU2q+Bto
aL8HyvFtkeklFIMbRe+oOkw9Ipeu8NOGdGhHzzey51CsADZKhz9QNUIouRVnljE9gPBqbiYSKgyN
+UbEwch83+iuka5C1Mnd6mIXsXrq2vC7JBOjngbqGmRRbZYDXmnbxhPaZujVcotRN4P7U/4gi67Z
ZBrGytlofYQB+1BDbRAu4p/OCHzHeurCODwPwRFk3IDcVtxUc+TLNsfvMjYgHerUN2f9c9S0xd7E
Vc7JhRxKIZ5GaL1p6Nzp3XAP+sxkMm+XzNAChb3lvBXI7ltm23JvcUhcdlaWXMagf5YUtDgXw5yF
wjt25qdsQrzbpd3X5aPrAmBGy/eB++clrPvvUuFHnEfqyyhG1DzFuLFN8Rxq+adcLETGjq5Mqb2I
RicE3aRqbmbfoV6q4Eoh48VWCcgMpUKm3MZ+eKUJCR3XNDZjUHy2aT96Q9ZQA6/LL04ot6OR3Ud2
fexn+1HRx2tSNXITp08MP++UfgI8EVsbxLvLTNs9au6m5VUbGVqf17+Oy6NnIpOEFQQUjrc1bMTf
qfvJQUXUQlPdzJP4Uon4YVhm52brj6l5cIJ7e66vituw4+a4jUgbCDLmyI1DViFxUrd+eJMDfD0K
HS0UAyryCIjsasSV146wt2dx7CZm18OYPxiLwZFTvbZw/4rq89jNXwHNg5sdtQNSrWmBwusbnUAt
j0BQ/BINJqlS1p4ZK8lBsRn5uE25q2yz2YFx8s0q706lO94yyo2+Ui6imEJvcYMaWI8iMBo5Sp1+
qM4pcRFaBxATa8Hgpabx7nSJdhoRa8+1HPdgJz9DC2CssERtRoQ8JSmE/UK2fI1956FQRUvoFQWd
x8BK9n2JUtPVxiPjkv7gFu6POGwCv5Bq6DmkVlKnINF01qW+TVtUSfwOsW+TzTnNvfpImZ4LYRg/
1Dnu0NRVlE1VUHcc8p4EDhi6WXucQmCGCkDyNmiMbUXQzXZCvL4QRPgSR/VYC+UE668DhqzITRGa
WzsL8ovI609RBLC/kagahyg69ZmOxwMzw0ap84FTml16NAmyQ4cwBNvuHOfbsrUYPY1YnYflRl3t
qf++uz6hzfaJrmq8X58cF7kt6PZ6uz756wXGLWvkxMhI/X0T63MzzKydGJRb3eMaLkfV3eIz4Npu
7KNQ2kelFxqI3hilTFSViafo4fwLxrBiE1ZWwrqh9W416bciocJEkHVxNw2LPW9dTNWA+UVQefSJ
v06LVa+IjMArrLHyRaIrkCO1Y94A2jYEzTTYxuZRNC6KfvIi77h8fBIUvvpkDp5M1BLluvllM+vS
+hbhagNct50tGnHMNyQdkx67cFZr8mltbPRarvJ91eM5bkNIjgKDWx7CsEq04ghiTD2RSx9ussiR
94m7zJgMq9obSntwYlOeOGSia0Ph5zphzKDfJQTngZbudlWTzKu1yX0UhJk/jXqzrULX5VcpP40T
F4Up6PRHEZIV0SR9tGMEw2guqweKxrO1Ne2y2oJVsx6Iv4jRSqYavf+a8qgYKk8ATvOJhtvk5axc
SjB/jNvHwmvTRL2m9IbsoXxlPFIezZBQ5ThqvnS5MjFKLPw603czCecXtTPkTckZPDjgBiNcmTQl
KwthB+/fWlNI68v6Sn3hXTYyPeY5o1Qi4iEo7LI2q47wX6uNqVTmY6Qld+7cY1+xJBLKlvNDQX/a
h3nJKDCyslfJBclJDJC61dCc6uU8azqD4ddh85CbZnPSNeRs2th8MjUdB4tkMqXmBNFgQ9BONqWO
yG7CqzbFzNUL68gc3zy2Q5A8dAs4O+Qnw1CjeBu6s0wV9640uYC1Sl6cCo2RWFKH7edwpuQYKS6j
S6FwooiG7EWI8KEMDKqpKanSWHnCp1EWP42a8/fYVp42Nd3RRUl7Nw/j1zrNp70YhbxwiED6h3PM
ZDwMD7Y+MMZEgTDaijgNlMCt5HHuSGpmyv1CFYbpHtzuK+KNG5R/d09k8ZtFDRrKv/mWTSI6pQFd
hYnK9rZCmX7foU8HqjlSPw2nZtvr9t0s6/lJsRVtmxaACVEOPsL2dp5CpS2O8NeA+iK+ZVZv36a5
MSApV9DvBiqn0CQc/VwtN4Nq3ubRGrzI1VKflrT++b/ZO68tN7F2a18R3yCH/+wXyqmkSrbrhOEu
24RFznD1+4Fyt8rVaX/ne/RoGYGEQiFY633nfGZomUCbuwRxRn+qBim/OI537iIl3uIUqg4o7J5i
PE97xuV43a2LvSQIIkIzrAGGic1tACwvYGpyPxAygNrWUPZdrn8OzZI8o4Rib2do9i7ofRTDJuqc
N2Bu8dljNLLkIqbtKmwQu5i+pk6OwzkHJQ1UlsxRE1Ev9doLfRT6MVWDdhMF+DauVPIAH5WKwsOo
myczC/w7VUU26cdqtulbfx/qaboOEu9b3Yqc+FhS69PW2gyBjj5JMfjClPFLW0IZBwdFpyfbNRAn
tVbOEONUq7KiUy5rT0nY7oPA0HZW11drK0g/eaMi7q20WaKQqg4dZV9MWOESF5u9bEfA4yCiDj5V
GdT+igAxnnrdGTCqubNNwgkGBRiRAa610IWBDJ15PDHPxrKuVFwfuKUOnn6oW5xwTZn7rt8036O4
Du6aHnlBoj23DiOZfiw3eTeU15IjNyhIQFX8bDk2I0L3oFrnBD+7yTAyOJr8W2MZvmjo9O8L319J
tdiXyRRDPORnT0taNMR1ygQkcQOcEVoqHXJ74NNpCeZ1VC5y7KyRQKF+iGIsziqll9rqKSgs/Gyo
D3onmsOC2NTyaoTJJWRIA2bY1vuNORA1bjdavgn6VD4E0nDHeDpaQwGaZIibUTTOnSznhBGlsbTy
reHsiRE9UKxDLkxUZxPWjnk2zI6zTJkOG5k+vU4zGyNE97luFflUfipKKXxs+gY/XtFcvKBeYE/6
SiqccS/7sFgJydBXKaTQgg6JsBid12VWMsjGb5hoFexbw0uWVW9/85Nk2IxdUxx6YgssY1yreW0g
HG7XuW9TWjP1p2FKrW+NlukRFbg+JsIzlwmDKev0WIonFHQnq/X8lV933n5wUBvlhyRDTTrG1UHN
KvlKzXIBvAWVQD6Q+b1wCsfZo5529vNSCFex4JIsFRKi7HJa7LFQUlHj6ojzEvfgthvaZBs5+bDy
ZGpJUtkDxIqldOoRNZRtpFzax0HxAxvUsKpkCYQA9WLQt06zgqID1X4OeXtbDPNeo6JQxJg4djYM
Se9OjVG6j/ZQM/7gt9bU0bqbsOm6wwS+TiJaKoaFuLfC7WNhXmCGQcr4tGq+GSrnuW8odYg6o9OJ
SAYku6W2PxdFVoQ7mSRkGTXKfphu5iUVuxjzwLr7eZ9wlXApRzHmiYnao08Yh3kpZR7OCF8XkEZ6
X2O+Q77KDPYJfdvNeuig5TRwKSbYkhqZ5LRnJQasaZ03D11um02u/Su/Ei+c5s0p4sV699x5B/PN
7Qkf7sryRFPpSvqKpc8c9PYU0r7jpU8QyscdKvaEWZkf+Lao5JRsjcBPlrdnv3vQvNKWEP3xc4rd
j59g3vzh/Tk2erbeD0oaYnzooPBMlO7QN24v8OEZf7WX20OUnl8uuO11Po0WORFigtP7GK1QqI2u
ZBo07LMgWs2bCx1ylNo5fMiovMfNKO/MDL7QfGNNFDWKpzgI5/v2tKWvpnAQL85W0MyYvJkJmQBm
C5O1GKSHOLUfMRxkrjqDPDrv1aHks0LUn8mwjAEy0Nb4nfCBRzhb22r84ED4T7y+2EhaEgwHcnUp
CtBYoAQAbT7SMbKk465su29BkkE2hfPn4w9Q8z0GT7x4rccFcoAnjbQ/XHAU4VNinG60T7pIwkUp
sI+G1o8gy+8co1j6mnPJFP8rWuiM2Gco9ZH5o8Qt1YaXom9guzahtczNcMe0+3Mb5vi1DNtVEu03
EpH6qeBDMkUpfW3gIUPX9d1ohMpX9K8iSTRqH32/RO6lE0Fh8+r1cNIy6Yc3gxiUh7TTn+B+PwZE
Zq8a1b7MHYTUC6nwxt2r1hlLH6uua6r5p1LHiEIl17Dbu0Rut2qya2UqQHJJUkgQ1N/1VHIDjRjb
gJhAycec67/Q7Q0pek0AKhcAwcEC6cQAMeDVumXN+C9q+nXfYNz2/fQByOKh6x0XdDDOGnrEhn6n
Gs1zSDEsoJgeF8/tYNwbWYW4Vtc3dSh9q+AbLJ0qvFOLHsTR+CSytt8qOgoEeLrHuqy2uVTuY8Zu
Qnhin9eev8VRd4/QsT233g8rGxgWEYTgBh0TZA/FNeHqp8InYD0Eq8g3oek4MspFqY+YIxRmA078
1Gs2woFuXEPqZbDl5uRyLh3qEE4xauRGgWfTI4b/vlTc18XTIDDwqkxNaaSBbnoZpG5d9N5Oabxz
YXRTLMmpTuFg19o0PD8DT4fJ7WCWz5wHq19Gw6kwdELg21MBxdfEDOjULy2mbMqb0mvnFEfRKmKT
+fpzHj1P4GTcj2gTvEbb2Hl0AC6SrJyuixi9hve2CujdNvPfMi3hLVfYtDiRbLRIs9wBRu+6K0xi
AXKMpZ2Kxtr3iGP0aCZNLS+3yWlCJBqCDuzG/VZDZShsG+1dxkDenyYyZpYhe0++lRIey1ElcKDa
arHuMIhOaTkIor7GiC8w71LqTwNzQWbqe7t13OHekaB95aP9zWriO91CekvggyCVJ+Fg9K5qCY09
wQbuUlJ8tBGUryzDewoz9Nxy9cykbMdcwpwI6/ZClx3067pxCTU+MDYU4u3K8ZAF8fcMgmYgHrLY
+WF3cgGAPd87IgYtPAI5ASb9UsmaiSSvX46CvALQ+Kj749QdLRP4jQzSwKJ+r37K4pKiZGJNTHH6
/0ZlNgu5L0i9wAC+FTkKaPpPPSpPtD7FobP43hxfoAcikxaJJ4UilPN8BXkKQKVPX2Iucmt1+q3l
ZsKkBQ6zcp7+x+hFaCBDVwqc2krUXF8lo3zkgOdMYwYcWmXdTrxnDPaU7IqYKkM5cnHMSPfRyz5w
exQPbhiZbhZM6UvQCMIOcUk9mr1bqv45oVXA1YzAaIy8RxzNxE+kS3mQ1FXsc+WOu5RC8ZeKcs+h
ykSwHm1t4NOW8B1E5dC+BXRmi8/A0caVlpTw58riwYutlKzcGMv/SLlJ+pz0Fg0qzNQL06JgZ76o
GRokAtFpHkct/S8jOTNboavlPbT6QLio81pSD+GvobzYG7/s1ZWXTJL1/ntNH7IU4p5sKkyiqT3F
nz5NDWm6XcWiwvezsc14U3ZFuDITnC2YgFq3KwA8EBEuFooYUeMYSeQOXbTT7CBcpgkpTbBz+Pi1
FS5tFEtFqRG35FibuPCYMU8SlF4zeUFI5ZUhX2oJxFtrFq9qEaALVQd/VcjwqEDqxJOFQtXp+ek/
WpvZcGEcjFa666eCfT39ItNml8aQfdQmNN3UIxzGkV7VIMJzmr2WUz1dbQkByykVHk6247tGi5om
hyG7scyt09eTc2l4LfgFlZSdJUV5bkNKN/UQfvH6H700kBBHvAycMSi1tHenGALBQSdTOpUJ56Bk
sM5zWgdUZAhbSgk2G9MtM6fSTZjMQDWzswGJN5IsnRosuY2YNhS6xpF41WI1XhnxSEUwyi2CRbrr
WNqvgnNoLhnEXil4I/g1qIp6JyWYYxtF/1pXDdFGTVy6dcV7iklsSSVCFLzUvMNG2LhmiqEGl+uS
XzvfvmmHLiMI/B7Tn0J/pLEGB9ApE05UAweEJ5fYpKV7m58lluhaIWS25bD3nE2vObjHpW0sfS9x
IVI3oLODlwAFcUIsRtIXzyK+izOHxLGxI6LJdzUtR8zTFP2izy24gWdZhpuSNzBGtObkyMOUcsIg
CV0SiLjYfyO9/J8q519UOeSboaj8e2Xr/y/DMUt/EbO+PeWnLId5yH/kKUnWsC0dZJCO7uV39Lgy
6XJ0UzagCdnUp2+ynBk9bsumLVP4V37FGU3ocTJBHQsdjTHpOf8LVY5iah/0obKDpRGKOXhzWVF0
XZtAOu9AOUlhVVUvzO5oazEzqilMar7pp0mSMk13VKzVFMAggDqzB66oMMLNlrt5aboJx/gTgVtk
EszU0WFCoXJ1bvfzEiPqpEqCN97XTL+YcRXzDX24n0SMN7LEvFIqRLNx1GAn9xGO0Wx4DLLWH11n
QnfJqeKXn2V1PKoBzMJoYkzebpQZZjnfT2Y6JR78SfxhvUE6ZnAFKgoufuYb5aLAWuWDLFrqE39z
vlGLmpHSiPN+DyX790U1dl5D0ruZYaVcjOfNbYtj4e2R1BSAeMYiGpZRSzPEnF2D8zdmD3GxFbq/
iman37zubTOJA4eKOrK8ntm4Myu3nmZ6t7tv6FziyqI9IYViorilM9BtXvS7CfM2L843JKDVe/sN
CDex4casJedsKibfbpC98/Hfqsli+voNupEUjtHYzOjfmSpstROYjrk9jUZjBtbNq+cH3B7Vgbgz
OsSNIyPy9VAU1MzwYmoTZG9eUv5YCgEigOP7dbMc9p6y0qB4rqVeefRsaHPiDeE3PXC+z2VmMlXe
Nt32/m6fqWZOXMC6KBbxkEADnJ5/e/X8bfMfK+d9vL3SvHh75PzEJN/gX073YoIfthOtcF6SJoKh
NsMM58V55XxTAD1k0O+tbqvmpWTawbxkTOTEdIqqnFbd1t+eYEz0xSzfJNM0sE9tvvlqJl6+Lc+r
bzfWBO572z6v/Mv773Y1L4Zk76yFoT3enjIvve3n4y7eve6fFiPnm5Z0GaKoP97sxz3F5mAyfVQt
992z//qV/nevfHvT7z73u33fts9L8827ze8W500h6dgLHcyoNfFG50bP7fCel/523dvv4uPmGX/6
YeXcNZp/OgwPfoeC317mDRouzchVBsN4Ozml3Z5ze+CH3c4bzPEahLmxI94YxLavMiKalpSJoXu7
+2Fdpnv03szpgX9anB86b5qX5pt5R/Mub3cNaeJHzveTeXfzotHV7PmfX31+4Hwzv4yhB49Sg0Z6
XqUKKjef58U2Clp5FVWjspE7a/MWezhRvAeyiqnFULB8y0Kct9ixCjzlbRMSWAjC6JT3ddgZI5nj
dLmqIuqWOgKqFtEgm0ZSmkiSnhZlnLfZ3bvdqBPbt8/REyXCxy//ti+JeUF0KMvQW4sQ7xei0ZMj
lSHTof63sNS/wIlGP6CUyKFQmvZl85uI9YhaKvq2Nv42QJtOoBKtEqkiUz0nba2zwwMYo5xMdaZC
wGyaZK9ZRI6OxM6mXHfQPyAO80qYE+/e5dvHGHSwKkMILLOZeoEYpX7i0ue7f7tuZqW/e8h0ZZif
+/aMv7jrzGDwmbZ+e97/YjeabTQbHQr2/Cw07Fxz5ld6W5zXzrshjxWi1PwCf/tOEjkk1nDINu/f
DbD2da5SNJn7ojP73Un6hL8obdN6+ii3dR8fc9t8e8xtXV6YWKVv9/9qt+rc+52ffdvFf/cy825v
r3LbzbzOicSXRFAsntGyM252JtTOS/O6+S5X8IsSycP6tr4Nqu4nI/dtcd70hsadn/Nhj/PdZL5C
zpvfHjk/iS7qT9Du2/bb/bd9BkSMDRJRqaNSI+3LpLOh5sZBkV+CXkoOwZgcabkTWjXlQPZN128q
udMWGiNSGrPVMrOFjK5Na1zUr7kbBflvojVHaOcO1tg6r1dmYJE5RjF7UybJsXKcbNvWymaWOgth
v2i6D2sxBPv+Ykr2ThF5sutsOsuZRx1Ut+6HlGqAD4seOVDxGo0tHkIYwqtQO9umj5u28DZV3tt7
UcYK4b/Fo2xJ+ibIqs9xKL1GCZbOQWmQ7I3G2e9kG8ghEGzjU4X6YuOEiPmMSXUiAkyz0LJiuVu0
cYreoaZhUQSvwsu8xdCZW62iT2t43Yqu3TrJSTRuewLrU0vf5qK44Kb5IdIOteGINilC5iXb2Ma8
ziGrW4ivRAaj7YVldAgZkVMps/axKn9KNNGfkzA/ykMFvbFAl2FaD22XRTtEdk5A67TICgcYotSv
9Mkn1HbhvamM0tL0Y7H42qZk4wEDI9FNkqeCWRgdw27ErRx+Ba+g0cf+IlcPjY+Di4hHvyBhTU5W
Obnmbm8Em7HU8GcNxMmJUBZLw6Yn03iRsSCM3rWuukk4u9mUe1Ut4caTAOM2dvaSddTx7NqXOC16
xHwRKa1q3+LW0Sh1By0tWszJIhjuk9o8pmHxxTC8ftngZm6Gq5/4+0jND1He/8gTqp9SUaLZzPEn
IbiAv1xTzIuDAS1YGlCmHtgqhvKECXXf1ZxUC1lL1wDp3aRxKugwauPStnqN4IMu1Eq1j4OWLB2z
gGzsEDkXWOqXNoDThHYxD3GaFujYl3lOuh4IO903SJp2cdIz9jfCfN2EfCwCoHd9Z39JAzW6a5t8
vDaf7Qe5bxBdhwO6rUr6LkHiQ5C0jgP5mcl+tikp6cZ+gPRh1C4ayYgo8Xwjtyjz5NSgjV53FWxw
bR6MuM0IlQMyUyCC1dZBinaniGihkVYXLAu7tJZB0S4lKvtLjy5eZyTFVnPqLyimfuTIvJZaUTeL
RNy1SOtWw1AZd4ZyCDK3Rbh7RmRnHmzfg6AdEySZf5PoKaw7yNhxgumxyGQ8Ro2yd6r8R1roF6Px
FOo1HA6roETRro9hvnHEpYhaUj2BMbpmFVGpB77gaknukDoaEolL85gvjpmNbgJns/2WH8+o3OeA
P4iEwGmk02RZTPnQY381sT+v8ARwqVSBRU7PGPIgWAbycCJn/ZJ6fg7CJ96GynioLQsnlvypEgkk
JopqVRRdG0b7i7yK7YOpBN3Ssynqy01ycVR9jzJWOahRhGqnYLKm+8prb5Q0hkj7cQ1/yC99iuex
d4ZtGTuI6WzN7fu4ueb8qtwmTKbOKXpqQ6FzDJySgozm4AMY7Kexa7mGk/Dn5o1Xry3NV4hm1h/V
pi+ORVQ/lFpgb0e6PGM4+cvKfHCVzGBCxhC6EH51ku19QueeylF8IQlA5o+kD6ssM57opKTrchy2
bSeyHeEQyB3JxsWmXq2QnK7HqP2ql2SA9l2K9Y0fvptJiNkAiSa1Wq4Myds0ht8jyiNqigOV9O/K
Whi1ph/R9hIrPbxoDEZMdK6cT3PkqkQ4LMySHZBHaax8kBSVXqC7OQiOxp2BPrAx2uVgcEowypwm
RhN/yuTB1TrAEjnvbKnpGAWwvizMlpAgYiiRxKYKyY8KOd01HkkDIWjOH5cqY/AdgPL3NAtOYTtu
zah/8FIwa15ubOzaOaCFsta5AoejltAr9Fn9mKE8WAYe4m1ZioMN7YuHVlOmjGdnl4ZkDXIqHC5d
hF0XBu+mRbi1CIJYrOvEoCCe6TTQrHxde2qzJk1y44PKKYoegYH5Gf6i4tKjA2mA+yLLxi/LIVXv
Cyt/5tcXwWuAwNI5pDXGU4PZ8dZZpzMfFTR2/dE/RCrI9LJSF/KQtoh+/SekZ+2m0b4qGQCxru6x
OhRgqSg8PfRkKC+tNkA9XAPii2qL7BrzKHzlkSYNQxSnPcrGixN76SZXg61T6xPGNQbEWiYPmpeM
C2gFhAulosAdH29MpzYeKFO2ra0eYEAWhXQg7ARrSgX6JgoHsm7prA7U36vEOahDq+ILtu2Vb17b
ESJvOLn/uqkhlRaSSsrvxW7qc9GLcllYHHvoJ2zQ12In6k8loyiXS6Pscbqra/HCBAHsFwBfp3bQ
jXhwlg0TVZEugCXWZRSuGEnvStJOGnWoLsIOV0OkR1fhoyBLQaGNw6AfMO16S354y4Z27FQ075Bp
Ridt3GRjTSOoRTZAcvtmaL3n0UTSqffO86DKI97lYoKqEuE7eF/Lxji0Kj6TTtCPTYX5PSljaWn1
9DP4pUBWYCaAnVd9SHvCc3EhlKvYOtDToORfeGhRewfEfVCIFcHjxQLA6JcCn6VLBdhfWDarylzG
m2pJ+aJPsy9U1JIdmtVj1pghTRLzqW+xHCjJE0BEhIB2uoWZawHViAnBdMYjLqKa2TputEanPKyN
qutowVnYGWX9wUB5qKBar+x0gsD6Ky2N7sp7md74GYbK2oroS2f8NizhdSBkgB3U7de2CVfot3ra
iN5Fs2K0gD4gf13I+0KgyS4pTnQiHFBP6WKD8eXZS1DKjJF0thr9N73t14Ey+gg1g+nIcBa6Spl7
HMxzVkokSND9z8zh6E3fdK60Z2KkmSzlnPm6GrJE3a1Su7QXmh1+yxUy6wedgUIFNnNRg3GgR4Q2
G+6h5Kptvmmi9NGmQNRwPt6bvrMOKqU7pVEIvNNQm5UOG64JZHPlUxzHsZs9VIwcisIsl3VdXxyt
oNnYai4B7/mdYarP8NwOmbfpzUblfCamjN28WtLRTgrx0AjlyIP4s2nXnqR6fCL+MVTb33L4FUTw
2OtUhtVmGRY5OV5xVNTgHuFAyzFar7so+Cb6Z4Q4+0Htf8SdNLgIZVX0scqumqiumo6GKtKTZpXA
lnX7Hxr6GyiDMdJ6S3+yncByNTk4e+TQglih01TALl+kKX6+JpVCNxSptysYQstldszzMV2Zsl5t
s9aNLYLDLUnbNXjDFg3wOF7RHZsyckPw4Eu90CbZbo/1Sde2nOMIqXY8lPMR4M72tYFRrwuF5DWb
Ly6Iw3UEeJiRT3PAxW3uvcI8FPk2JWd2R8Dm0q9AbnbKoXbGlPE85qmoJyxHSK4D6nHD9MFV9Zcu
K7S7SplOnXEqYE71y6RpX1MZ5hImHL5x+Hm+/ciMLWdat8mqfDPAgyLcI7nv9RQRcpqffE2+V7uk
WWpy+mA0zTcfXAFtF8KIreAzkqWcjkygHiWdjMNQbbZB0pNI3XNqDqLggFf2LChD98hZ0Mt+LjF+
LjgZmqtI5Eeugwy3TJuvm2ZqkznOImSgkCPbn0Dr+qYoHFeZWqFV0cG7kl/aeniRjHbtaw2Z91p2
n5D/viGd3IPR42+beByWMmguznmjRUsqQjfdqneRWV4gSNXrQJN2jbCiUx61ZyP8VtrquexU85OW
Wm4c7nN4pateUOseo+/DqGX0jEj+ggIV4EsYOUYnw46lUzGJ9QVDNGnR2R5Ze5nSEKyt8OMLYYyG
gpHJVVG7zMXdcZZy9pHVdDJ9sn4WkWRqCCk9XD+41dMuIi9aFoewbia/yLjq/OHklYG8Tv34U9CM
/iZFMbtomP8AM8vJwz7oqi5cfl6MDpTGWMYd5Y4eP1Ilgq/NED4S3GMukQr+UGsQXE6r7JSh/UET
lHI8qKNq+IECXns2MAjBEM2ngWWvregDjmSWVM3JXEb4tbY+Tjqp8o953ZJu1cj+xpZOidP95gyV
OFE5WiOnBPnYVydwrYVbjv7Opyq8pUb/FUkGdLmaVOIW1Q5p4BvLab7ndj6AqlkFcvjaqgIjv25S
tHGw9jswZoK4/lYmnoMQoj/Yg7EIgfIsFZOLAkauV1NCsg5ISSqdk2FVGx1NKMqLGqCNf7VL8YzH
adsp9pNe4fVsmSSj9x4eS6/gr9o8KX7Pzjw8SJYszq1cHTlLh4AbKN2VRBir2XOmq1+DrDtCdlwM
WRu7A+7lXITjOUOUjylQCbatqqub0uFPJinXckL6ypHhXejkx5fCO+iSQ8jXvKoji63sY3F6W6dY
aFtHhGy727N81QuAVfWwmqY9zRtQfn6tRyQeRd0utWB8qIqHKta7S6d0G2K/URKlmAu7UbRoYKOI
N+I/SVh2QGcwio0KspzbtqZXGR4MFBYhJYJzq/T+FEflX4fYu5ada6dJdrD8DlD0dEM5cnSjYWQk
mlk/16W4QAAqkbYt/7GuwSUEUTxUN4Ut4XI0vDuiyr27hoMxB8DLj0LllF+X6z5RIfRPN5Rm8y32
R7xv01068NolKq3wrqPfPa+6ra9M/VPI8Hc/r7KlQr3EeT8uk67KVrfHIt7AtOcbPtcrHvJug7ZA
gFC9WwOwDh7JkKW7+YXnh3oBrh36+Usmp/lyXjVvDIWcHoCPPsyrjCQPz5YlLTs/iK7UCjOUApda
UcJrV9BFDwtv1ynaSR6i+Nj3hn6Zb+yR31VWI5e5rYuHNt14lRa7Ak8mxg/KLkdNwi9qCLQo0838
YPr9tHM8sRqCukLMagf8UWPfRACR2+AJp/sl3ph1Cc4Mfch0P8gN8ubN/hJV9t3ocA5px6Ljt9Po
qK+FdGeEB4xL+kVjevN2w9TqSxMF437QY/YQ+2OFzkTj4vDH43rROlsIl6SITusskLMHELGXJE+a
c54Ny7cjasxDWH9oZZ04qe4yRl9XXbL9qwqLOEdufpgfNt+YOI0Xnp3m2/nu/FjFJi/FKDp5NT9r
Xoe5C5NsJk4xgg3XkX0HciOqOIio417TmhffK53LvF61kvbO7NDwRLbM55ge5jUo4S01oC3PM5kF
XuRQ0SjbcPxlyPa3ku+YF5JbrEueBsUKLM+4ZI5lXeYNSh1VOzlHNT7fnTf4QtbP8IpdLRK1xMA/
qNdVQqZFS6wIOHTjeHtsUKBTc0SFMEQtyOcYiMsYJS+45qlhL3t9ECvN8lLftUjwXZN+3bhVUYTX
ZrrR66reUVNKccqjHJt74/+nIvgXFQHyR50Emr+XEXz6WqHs9Sl+vQ9G+vm036UECmAsRQPYZAC5
MgydjKPfpQSq/h9L+4OW9TvcA+mBDGrDepeX9BOJpRv/IWwcR4OmMLjUFd7dfyUj+IUFodsGMUTK
zONSkDEQufOriAADYdHgZzCvQjZQzZRi4Ezn46mUOzT/2HESjTmGjZ+jxkWwMQHypbKcMTWm5Vnl
+H2c0tlGcSOfpFj8ePdN/hUD61fOxvzugI/AMpHB3oET+8DZ8KmaxVZQ61dTwdbIGPgUO7Akalsy
dmGsXLnw3BsKAyPas81y4DrrWqaibBu/QqOaMAtlwl3NIKHANqKjN2KSlQdyzjQFwEPjhWsiPLHa
I2vWMu+3f3n705d3I6f8fPuaLMs2JV0EHB8UGqVfi67MFP06On3+pUSVdy7GCGyPlQPjGXV16SuB
c2FaSmD4l8GXay4Q6iExreCIRDWEKhTvC6aXZyuLgcqLVW3XypOTl7swk3C/JF6yDtWi3LVtda9a
anXwfGWRMfFbarlsHRMpvv7LZ5q+8l8/k8UYRZGJ+nI4Bj9+JpVgmNSJYu3KgZ5i35Qt4ossCGqd
v2vUtFlYgWIcBccHMm3b3npZIe3xbQ/HXve6TWgXTzYsgINFTpETFQo+4kd1KsyqkdDvzcm/6qcK
VVOQs//81qeQsT+/dX47OglkpJBpH46mNE9JhMod9Yqp35VNCWeUsunwgizihOm4BebmkI7kA4SD
OLVN3L/k1VSmXRu0TfG6K3QSyjrc9D4jHa1hZNAJzI1IZlyGmuFBitST1Poh1jjkZmqZTggRbYX9
ANeJ7lRLy6pA5YTCIbjTitccGw3+XwrCmo3pRlOqHqea6qyAHMM874JgTZxsuJG6PNta2p3hT3Qd
PfO3ozdyTSBxvvBqpgBoR3bF4J/DwHRO840A3dCaycYgK8QthXwaeuwORihNCYfUZz0ZwBXynBcH
5fvCJqiplbLmFEnEgMmmMjV7KO3bkRKtAd+3d/NSJzCNRWBeZGyH95qqZmdQ+7tMcTa0bZbIgTFD
meLRHHUk/71QVpKi14TzlsWur+Ry2Un5twE34C4Jq89gJju0OLZ+DZQcDnBVvgnfXvv/53/P/urs
8VeHqqkBlDBVQ5E1/QPuz+5sfCiQtK6S2hxbi/JWjKKRkRS6mybWd7alnlGN2rtsqJ7wQiOCTWyq
IH4GOUj1lBOy+k1DRUMRMKjjRrl20tIXU/6XA6ATud7JwQ3+6Z8PU3V6Wx9/YVgAHGx6nJL5l+3v
dF2mBHWcMRZMB0MC8WEG974w7zRLJHh/ILjgV474w/soGi07PelBRTqZeKicr7IjqweTHALbz8pt
Bx9qRy0Q81WQrLSCTKghaMLNP7/dmXX04e3CbdRsy5QdTgsfz9Gt4zArF71yTXB/XmhlufYgXsIu
PtKZalyyKAssb/Ye5PpRGVNxVPzoKRR2/S9gI23iUP3pjTiypdsy74aQy1+/N7TGNZcm/kpN2j4U
QtGP5SdIEyYZZhoQAql5TtovIkv1h3AUJ1+drAGdqt7NX+VQ1Wt6O/G5TGvKzUPjUnuVI3WX0+VZ
lJVC8nckHfnjUOFL0y2YN2unhu091fzsnBbDvvPojJJcQXKPVchHSUqHvRTFn3GFS+4/f+d/dYhA
r9QZUiCL1f50JlN1+OiF7MnXqg9f9QZQdGfLk8FOs5ZxZNwzx/5hZvZVkgrsMF5PrisCWiby5gpW
1bjOo7rZDPZYTv2xg1rjwCDUud+MTiotC4luwz+/YfPPF3LLYnDBNYP/LPibv/5tlDySCSxq1WtZ
1TaoyLDdcJLejFbzmqOKvrMNKAZgn0AgWALsKzOGQ1JGWGs1ddkwwSFfi/TwrH/FMGIflUBM7crs
Bf1m63IB7jiFamI3Neyw7EKaNFttZ+ufzNq3tyCNyKTNApgzvMK2qbR94Jj6khgQyBayhotesZIj
qJzkKOf8uH0mt2p/L2TaiTVTmZUdlQoYToueE2UXyMdnomB2XBXsu6gf66WcYi5nRvlDgrWYhvBY
MKfvNRwb+yxSHhTH154IlgUQpWb63oBTTDerP3kmQepJUK6wINtHtQQN+c/f+4cwxWkEYlkqP4lJ
xgoTzv5wCoxiHBt05JWr4+TxJKlp74dgzA6jVZZbUzL7e8lpOzdkfHEchpEEgW7AJzXg4JCScpvI
urduKn0/2oClU+ncNBqNcJ1ORyT7LcT8YGLJD4fcfwJuSaq67azp5RIaoCHJ9mrGhumgP/ip6ZAb
Ft0JCZiQTZk0TtXDqDXqyc6oCBYDaTuq0Ncj4JDczuKHdvK90BRZJwFNsp7r4KKLrHwFI8whvaRs
/uUI/ZCH+fZNofFF6qfzfRnyh29K6tWmNT1dufZ5+kkvfOyRTfBZxByIVUEHyjaliTRakm0eJsnB
wJYYNBBjhd7nh8GjwKPl9DKpGS3/+W9ofhy2TDJj3WbiIBOKaRO5+utvJ6l9NaJ8XV3/h7Dz2nFc
WbbtFxFg0vNVlvIq2+aFqGpDb5Mmya+/g+qN3QsL95zzIkgqSSVDExkx55hjbVandMzk3bdtLJvZ
W9ho3rl1Id1rODm1OmlpeOU0Cxp6ZxhytPVj863NbAgIYLCx32nmpfXIGIKDpZ+n0L/MRqWtoSsx
AjBqbWd1GVYWOaNy7+NFoh5EvaU/j+YXCCwcE8dZ4ANzrCBzuw+iK8aDIE5em5N9kdvNtrJYnaqc
hnAz489p0Kda5F4yMmfjNwFA60vAIaKHDYYirCKJH++I8CIsDxsySUl+vcNDpDY4ITamENMV+USa
Tf0ZjGWdc2im9iBivDLes0KI3eCZwDxr8hVwCrR4ya1oLSNDggUi+gyzMZFAZZL/X8df8MT/Otk4
S/QtSm6OagbI4n9DEWcPjya5oNETUIvqWmigKiwtR0xSMgyotLNtNz+TUDExnifvQFrD0TfL+LWb
tfZAkA3Zcu6np1ocelOP/clwZ+K7FtYepffBxcMN6Kibup0dWXKdOp+5jFjbpAOJe/6oX9EE77B2
Z3ddfOu6RjxnoXrrBke/9JBXfcjagxZt+ML0fZy2P5Le2RNpCyDVI1T9eRwM56XoNIBj8AqM1Biw
Jm/VkKidxy69MqukR3HBRxosQa0KKbT3I33DGQeIbUpTQuXPbpIjHoqpkgbHDxzwfqmH7rqG671y
vKlk2FHrm0JZwHhLdySrI1PnP9eM/kkV1tEN6RxHSRieRSK3eqayG92cbVERY2VqrbuHWw+rAsQQ
nphyW3tKBFFmPPvzGD4xk3b6c+kQTNk16Rcxum2QIqRU+PS2cwbooCVdaV3ks9yTZrbKG3qGUez5
qyatF3oeTRZe1mTkmUqIJCGLMcKLVpmtUpy6U7NSFL00br5OrRCY8mmpzeQuwjhEWIwkGGajKLaM
6lETlUEbjuop9HDKi7RPYTBD8mIG7GxNVfwAEoeCuI35nLZ1xbt11mzeTY6GJWpvkKuatZ5JsRlM
FFbEny6xt121VcIjUXD4lRpjftLBjhVDDmjHQ03TAqJwZq1/ska2Hn7efF8X7k+RIgloY1Ac89gg
WNKHa4ou5z506Xdpzh+lV8aYBnPnaSqnFecMcRg85261IR6reL4neFBJj0k2rWCDSC1tp6FzDZrM
gRhXyZ8WQQYH5SLjaAeYTYgmDpjJ5xM/W7KIC44UxiIwbRNKosyuiabmbVrPDMuyvIbw79xrdpVA
1X53qTesf8K9X8Znr+p/eQJetN/K9JIL1D8GooVdzLT6Gk6JJAzSp9PatwcPRsjJ8Kct7QzGVyHn
WwzrNIflWFzCWl4wuOor3fLUk4t1Dq6PBiCfj+Uk3XRDbtqsCi+ud0kSl/APSGB2x6JdjVPvbIaQ
VVg0H0CrZriIflc5Oxg50H4g9Obq855DSq4qkuoymWG06W2iYhKDns6qoQLngIy0SDOdE0YAAs5b
WFbc1d4wx8mblc+k4JgGXyvj/FObE4xQ2UQvxwzOlKerd4tnnTXMQbQGNO+L0vj8yCZq6XckhVn6
nc64fp/mabwjECsB4yUdX5JMa3JACtNA1lBjQY+T6Frj0+8qyz4XsfOB3CDZ2hBHE3x2NwZHzT6v
AJ6FtoYmzJsJ93MByRmt/wMqxTofzO/kJCOuSEHUbFRHuoPLlr99+ErMOeJYiz/X7VJ19ZcLtwaY
2JDGuGNt557COMz2yON+Thii7nM3dgfNCO+kWay1ZrZeq1Je2jaMLoljilXvt0MgwMIwVTRegHIs
fIb5muh7l97DalgSBjU2289knn9OoeYiFSAVVyz6ibkW4JY4UgrRqlONoKZmLZTNzBwKSzB6oy37
qGWiNLlJME3X0G2vURzGQVQX4T4iDnFFK4P6bmhIo5Cps43lUB1Hd/Gok/DbV+p7gzWcbMj4xcos
QE6IKAZz/mrHU7PDguOvRN+QxTa41eto3eoUGljWiBvHqXjT12kgDeYMbixDpvlMZDCVrzuHWEwx
qDaIB+1X3AnGvy0zfZCOJAD11psQBtl8kPiUFxJTmqBlWvUs6Y7/uMrqndt7ZSxmh0VUPSR9c2RZ
VP+5aSCyfaxzm6OX+jeOyvPu4ZGxS2/Wt388MotxxtahVoWJ9JjBANtqDPx5jwt0oBdQJu5OERx1
7Bu7/cdF6x/1RcHuPkK5IFXIresZPx/uIgt/AVbMsNtkC40hWS7caJ6OIXI4xBbg6QWjM053R0zS
w97A/J1G2rQtpuHjz91xco4dGHU1rKwjVAtSO82wOyLVYvxv2ekmbzCqIGEHSEwlmyg1oZtF/nR8
XMTClEewKfIIa/CHU4ztzslhaYa+nLYGgqbdWOZvkRW9tegb995A09wvixyfD54keGdLkHXsb8xB
JCc4hCVLq4HB9Ty9GCgZNoVRIKYaj2Wv7MMgGQIyhfnPxb9uzmNa0sMnbc71ZbodrVohmS7fDW0s
KQ4Q8z8uZmhKf649bgLrs4IBpKZPcB7LSC44F2Mp/u+1CGpHvnrcTpFTt0LD1u6WN1JbXtLcig6E
rDEnyF1tP3Kw3xAvumpjw9+QcYLexqlehUUfdIh6uRmYTOlJ2oIC7E5tU2lbV/yC+0jACUZRU7cd
1rSDIPHGQQ7ULHQ1tLfMIxx92zF/YYrMTHBMq2vuvzK+S3aRyxiKPNCP0ZfATB6cOUet+iGDrT/C
tnPCZfYUrgl8IVZoquAS5QkpNU3BF0W/4ji2+m/UJB8+4OeEuTlhMaxwsy4/gFLctl0UKJlZG2SH
W5cS5+xlU3mwq/jgNZz7c0s0AQBZ1Be70QOS081IxhaiGYSwgURJYDKs1fO1yLUXx04yRGfQZwiM
tjeFcIFcmPJEawjpBDru/CF0Txal/sN2xenr4Eeg6x53pYuM//G4x7XHfX8f++e5/+Of/76CHdMc
7AYtXv/7fxYPIf/ff1M3RBIDrzj947Wzx2OMZsj3onSPECwQmf198XqpisK4+dXK2pi3jz9UHJ5m
giw7fpGZtd7jFR5/+fu8x1t53MzQU1HzRxsRTdrGbhml56XapSioTkxy0QFrLJC8qvuJDhOQkQkI
AIvdxvBDMkSdBbjxuJgRE8PY102Egh0H/Ens0KqRbyc8SDa+MNaejeQttV39pDuZt8nQIABXgmG5
ro0fcZo4h0SP7WM5NPYxG+20hOzg6zuti19GbwmMffz5cdGzDjp6LqBto6mttU++s7V+/IWzoH2c
mH+3KRjqx+Medz0uHjcLu7QCzYZAtrzI43479/5zrc6ZbQ566m/+PoFKfknkYvJQ1JMXwPNZpZ7G
SA7c69FuMWUSGigZcM8a/MuZKMmv0Ri+2Iuqh/ZTdQzJ2cYMs1wtMZvMa1kvVrLHHY+L0UE+s00X
v1BVL1raxoSEtVgrHxd+Nfzn2uNmTMQVJwQLj8bfx3j/ffTf+x7Pezz6Xy8DUDDf+tLj6DNCyt70
rkETwVh2icwyPRQymXqFMZTs/ngqHraIvxflw4zx9/a02Dv+x5uPP/zxTyxekMdNko+9af2/P4Vy
gIhTkTUo4el1/Hl0UVT+f67OpsIS8vd/yyTr9janHMiXHOVRfYReAgzw8V/+PuzvPyVp4Z9v+//3
uMc07O9z//HBH3/511PAa+C7NC++Wd9b2qcdApblI6veNZcEuOVrqsNZkkmxXA0L4CvB45ups6Es
gll30XiSTPb4zf7+oo+bPgm6hDJXC6X8z/XH3X8f+rj2+KFBcS3W3McThkGgeyNieQbbkQSDblD3
j7NPGB1h4w0L8YfvpwXZRkjesgWo2UjlV7UcFP94exxU0luBT5EcQLD8ZVkcMknxVELC+nPRSpg4
q7+3Q2Kk1iCkbQSHDrTF2WaFsbz08qLxckaFORjRlwjRCoN+sbV2l+ioRh/f6uN3aSl8d0ZTvdas
6g7hUsEYyw88d295QtzIfze5v7/O475//ER/PEN/vvXHFvu4GmY1m01CmKfXRz9cLWGKZSfVaaoA
PMy9V4NmcUuwEOFJhdq4yWdbPVdZloEhYcWlezsidL1dAsVg74RhD/aHGaaVEcTjElO/rbtO7ge/
L4FnsNjEmdJeGEFcVGM0X+y75qDx8MqnUNjRgTS5Q6RHLqZgGAN9LD5nIREVVPqrPQ7JweiuPXSF
k19YT9gHjIBGy2eySyB0Xi03y7cWh2DOeUyJZNNuK6NxLkkfv86t5lIiWK/pCKXbabzPioPVqs9T
fZWMQ7zVEs71oA6/N20prlWPJFhZZngA4XHKw5rWmKN/92PP2Q1GSqSBJ77ZSOC205gg9C80iP9d
fcsWyUmPrpHUMYVqjQW9Zk0feGG+lxop4klKB0rXWTwxYTKoDXxn10oEm2bmGoAxKnXwhfoxMwDG
ba35+zCS0V0HAEcsemm1T2k0vdtO5R6m0v1ZhgVB6rL3g9AmhtPV/eemjJJnQvqafT2kb0NhdVuG
w/lGkE63MafK26bFaH8gXNXWJhrZvYySw8jOcIuQRcK8RmzXJNXFT/Uv9mTZnGJDf50UKtrwtRN5
7fXrpC1/aKVeXoYaUmtepgF90DsHpOZkzU58INLgmqbOcCDL84k0kOK1HyIT/K71qYxJf29z8Ml2
dao03A8YzbEJwSrunQG4/jykh9DDCDJlnArTxj9Kk54Bv8eP2TWvg49xK4FNX4Yq2zEd+l1U9Ckz
vXDWuizF2m4gleFctuIzIenlu5exFjNflWy9jzwinS4yeiMQVZTv3WZdd6o/Zw7HD1vI5m7ICZ6m
FPtcCv/cVB7eH01RZ4cz+P/hNkx9E7hCTc/QPQMbSa7m2v2TgRye325awD1edoo6sEtunrLQ40QH
cvo6W2F0ICmUfB+Utus43/fdU9eDNOoHyyO8oX6PBlcccDUdiJrOEULTQ9SRMkHxyAqgzJN9UqP2
vQ/yDHa6yvxzHhfQcop4OCXiUwOissbvanN2jcjLXCTmodPYB9Ox9/4dld9seBqHi/rq08QGI+bJ
n4UfJfBVxTvzGypYVug7AVScvbu6KjKA9GlcXDBteYIT+hLXpnEuPmZGzu8d0PUa9GRShk8isb6b
jaXukQrtYzVNF0Z4xdV2H6GLOsq+SmGpr+R7S0rki9GgVzLa9Cx19YP4VZ9YiNi5TFoxbvqROZKv
d5uZ4fqrp+XbUU/VtiyyNihl9T6aXn1gfXpAFKHvE1OdB6DNJzcZDjVzE6cqW2RUs781jJR3xxcM
6dwCYDLNbykMmFfQkChN1T0zd5ETySevSNZt5Ry1xM5pFTMVFblLiUQ0ejpPat8mlo7HvlMkYiFC
j7VIP3vkT+9hx/fAlIlk9BfwjG0q2poA7zLohSbSk1M3+1/UYORnggkB9xr9vCHCQ98A+gX4GFrm
icILYmthpIFozPUIACYU8ATB6XydRt45q30NY0r3VatGUKlk+F7gE/6auvJrXLs7HlLuUPexdet9
fWpU3z8jPXjBvkY/gZtgQ0EdWVRlzOI//XwW17L2UKJn8oDa/xvoIeIW4Z7iajOgyju4E3OckIxd
fxh69eorCWF8IkWjdgMMUJe0qL+iRb46dqv2OtYCzVff9A5GLqy/aZv6bbhZxo/C/KVDrRd++yG+
GmE5XyBsbtsWsVkvXpPpe+Ka5qEaEF8bpOL26fDc2elvO0vbQOXMTeyKbm4RbwbWsq+SCfWiTm0P
xfSMXUHfDspx1pZTgvQd6DCacLDgKsi9y6qVAHftTRh64LpnIyeWKzbRkjEOONsN1E8mD6RYaXB4
CI7TT1OkH6q43Q329AVEP06kSHZXeyhTPEuYEX33RR+t9hyVJCmrWG1UOnh7LWQFOGlutE/pR5FA
QLhEMp5LPdcudo+Bu69fDOnR0jLrW9yPxcZLRH8u5s9qwYd6tOt6Y3yhlHO2I9MD3JXTVxOlsGnm
Z2mm8YuP9Hwv4pQUCdnWmFjG+E0zw+HJBTSUzD7yn9npn4bpR2JY7acmHQC2zQxnM2OjpRuJ1TAF
yOO6alq3QzTSA8rqp6njnOblEHYRaPuMGOgm9PPTgB3n+LgnNKP2ZKryF7TcPHAWl85UOXtdlWfP
srVgltRQxoxxT4bsMICo90nN/yHMDA18qnqgsyP7RV9ktIaz9G3qAENGuM0mr0hvXQhxpJwLJh4+
2KtRlTdV2PmxTfJ2yzaxlg52H8mJwXUwPNTd9NOxu+tUCTBqU/Kh6a17gDjMYbugFw33lv2bopLS
q/V3eado3U+IHvoumKmh7q7T7Y8mGagH5ZGVrA9Nx6nXgm+YoYe2rN/l1I/vtZ0eMx1BuhXmybPM
I+jJSbTXq3S+x372YcZTdZFDqa8kc+pj96TBvTs5jbVLOdCTTxuxlLfcfTOVEf1u4lqxJHaGcxgq
Z3yjtcLmqxFJ3cK7qszIOnqOs9RK4wfNeSJxU5bwHi6zi5X6iIdmY+UrvLLt+BTV3/iX82HkW4Ae
PX8Fx7zEuqH7z7RBMrk3p3Vo0TIF4uQicnURveNv0EGboZUOsWFl2RdsYQuwDjdwPBpy1zoTrTmd
2W4dxljZJCkhVKpfLcJFhtGieKXF6pOps5mS0aEeUK+ZXRqIy7ADw10mS5buZ+rwJlIN5l3i5cFo
QpKiLUxzJaqOuvPB8E5cdbff80WaRTF+I3ZFbB07+hW1TOZQj1tPSmmUlV2M8P6uooEcvjJ/gRvf
bIbEGzZScPinhGGrmOabmE1o16yVx86VN1jCcutE6j1h1UwHeU6I3+svURTa68ae5j0G8LUXWoEJ
ACRpVL7XB3ZX8M71NnXlVcu6dqMmE3QDiQS69ZuqLg98g+yd0gZ0rfr6F8OcZ7s39J+wwmgk+84X
zl71NpvcDRFmxlOdu2/xXMwfceTg9k1nMjPNhppxyLyTlaHWr41G2/uuwNJtjz4ibNDtpv6uN+Wn
W9dbP5HjMcQDSt4jLueC+KDzHMX+GXTdDdoSdT3qkW2S90kgyfVbtdTSZ5bivZ+5T5pcKq8wD3r8
aftMeE9zU7ZBt7RL9BmbgCHqakfcd70blbOJI6unLUzsQlyMCCBSXEVhljrf/AgkTAw10s6d5jyK
YTPCGj3pHaSuLBv1oMtwl4yReUcH793tctyHLh2MfExOjAQDWtn0Vaz5WwMv9ES600oyjtmInjZc
ZQoaI1EXHpvefE7RzICsdToCOyXVspPlB4ZVPBugSJFT7Me5qda6b5wRJdAvthD2pm+1q4WrTu/y
befqCJF8715jbj1mhv5NFXm9yQUnFJehaqmGM6UCLgdOfEHtqp+NLW5q2tUAsPdp4YanJoMZOjc3
Q9BsEU15yGY3A5opN3DVXVzA1bdaYFjoa22vC0OutJmUnZTp216OvB3KqhRNRDccYlE8p5M2HHyv
zzZK835T8JgnrcXSDTB/PijSDxzObTfD8Q8tuMt9T8IbLVz14UgGMJbWJ2+2nt0KSx6VCimbHDKM
kxanXoa/zqtMm50ehmOXO1cw/QsL8btdT+6vUoYfVvUtMXX17MCez3vzW4W09Ob69ZfSz8SxM6xi
a9QSp/di1W9S2w400Z+qDNA/NBa5jktRXJyGFTAnFuSWQ3FFi3WMl9cs7C5fG2un8cXrkNeBqZEf
TnKYd+xikqTAgT1nHH/zCW9ijmEHOwTaOcSFxR6ytLEXlvIQ58+/6Y0/x3HJl1W5/HySrLDamYI5
Et+qMbxQHskjGMr9wjy86jDsklbdiaN3o+JbY43ibsQ4p0TT1BsbD+tN8UusapMkCeC8K3gMq0p0
5j6cuvvUeT1+L5L1rBenya2L6DobIK+oLkY8POXQZEmbSy5EgU3Ym8thl4v6GPmE7GAcjfcPeWaU
5Ab6+hiOsoZINjYkQw67ZRpkE0IVD/WmXYrxTFPXz8FkftMTefKQlxQY0j1dd6/jJH8IDzcnA+rz
4I2B7sn50EP1XPMtTIyA55JXTjaPbRyZ7CaLivowJuNvZIj7WDQ8N7OY9jOsWSmDcXVCygoCqVPT
57+aCPsSMhyd4qjKjg7qUScsxDOZUe+48c5MaaprpL5rNUJNjybkHUF0uokazvePiwyx66Uppi9j
5vYBlV9xngs7KLyG9RlQGNCrKJFyr1vH1lQELG9eJba9LvsqW/ji0odYGjpYoSx0I9sRzxvEUiQ0
lTEcU5D9lzRs3v/TGsjx+kWZdqq4U2VnHjfsJuSmWDQIG2I9AiHHgDXNySbIfO8nE/+AgwF+Ppk9
NVkmTlFKDAvsztNkuvzguq1dLB+WWdgYzkYo7dkap1+sr2WgTfYn4M98k5JIFYxxJVasiU45WTQM
+LwDkAbY5p7+s5rrEW1Qqe10i9zZvseSwX4T1EOVMRHT5DJaCbHHAU9NLfJES4u+UEUP3sJPvyZh
B3OuD7ibFjAJ3R034xpjrFlN+pGExISzW1ZtZYnjkUSNcc+KuF0V7Fxr2jb5qaz0lASk+e7kBWwL
+sh9y+wGdgQUY18hRoKwrFzyTPuAQYT5xa5+6jP10YTdqmM1dqAO/8I2I0/SfO7oajxlmY95ji5N
p+vFDqupuk/EVHRdTCifiboniizryfa1E/0FTPBpeck7E99cYQaOHqYcoz14pLVPiRCSaGDQeT0a
qQbBIZfU88i6dlFZdBtpJV8kPcWL3ZYhsIGuWxpcyTaPXX8fTzo+as8a9xppDWtsI/mJF5ssjH/u
1EyBIx3Ubq0RrmABjHif5M86GcKLqqO7EQ23OAn9d9UJJMqlLk6cdzuCYYiCTlgt6ggDYaYTMlOA
qg98hILYQ3J0cna/ZerbXEGyNvsuMwlHmepiq5kpZNVp5Wid8WxN6a9qZMaK407ts9Duz36R+YHN
oGxdduK3JnXz4sL5nfu2uY3jKDdOkhxnttK1ar0+KIkGYTLNcDsOc3HViiCTVXyGAAH6L9QBrTu6
ItaTtJ14To8O/RktHm+jdN7qWrs4xMjsgCh2mx52LeKO6dKlPnbqIuovbpTfQIPoa2dZkESNnV6L
mbglAkrcITN+gmUgfZQY79DqjbeRQ6LfOcnr0HYMfgf32kij+e4Xww5Q7A/D8CPW48ZLY2tJAOJb
3xs+PO3C7Iun3qEi6Qbi0HAzbmF5SCpzkB2IT+7IL81DSCohgNB4SzEmScNy0i32XnuNWifdoKVc
lgxjnwAOdCWpn6M7XAzVIIoiGNMNyQ5uyQihl8XgfGxLwg31idX6UpSkgrySqGaNwPiSSXvdBk2M
+HJOEDvW5vhq2oQbhYz5GRiEZASkeDHITQgV4QpG6G0sow/3aS96JhhYGGRnJczv9A+fCsomkuDi
ZPXXIcu0Y28b6bMwGYbUW89qwa8ulgTixee1buWEdNVRuRmi6NOycd366XPE4eIKX/l3MRlr22RJ
7mUKKU/sQxwZEFzKvuS4P+f6umWpt2aOou0GjLBRKskvxpt69qabNsUl60YS5hzM53tPvmlp6W/h
A5CrU4QmaibctuAaYB9WzOxlYblwBCfKtKw3dl2VCAZO1o49ukQoyY4KzbwLtZtRKkZXrbWNUr0/
6WSQ22SLevk96lR8qJfD7DhZ1rpz43pfDc1LhtUaETg5abYToPMm07q0SLJb+mu6fE59Kup2iUYh
yE1b44hPd3MZfpnqtt5GBnBpK6/lzRzvnI2Ssybdr48WTO6O1tqODRFk38wqF8xwEQRh/mV3my3F
EJHwLoLH+z1g4aS1c9qpo3Uvh+GnXTgkeQEVkqmOUj8f7bWr7BdbQj5vKhvZRDNRHVT+0+CL6ZDV
LWtWMg3pkta/+dhPZpO8kaBhbCQt07VpY4kua5viCN7DelwkHHGof+9Emm48XGjIbruCsAnyQ4wY
Mq7R68dksnaEeCT7GhH3xpnLeafFYRMYbkX7z6Wyhl6bPxsif/OG5NlXZKFExNdtrYECxNGHYgcT
24K1YV+VdPsT+JNSv1pVOB3t2vyFY7o8iwIQtUi7je+jnkh0nLfob8d1ShIQKWCc4RIqFRgf8KKa
XmSYupcCY0DjKGv7EmdDcUqz8DaW+s5zK/tjrC/GHHtns1gSR1PcJ3Y6/8w0YLuF3rM9tTOpZ0kS
UnNXvx5i+FB5nyUEjC8relXpKoZ1tNf5kFtwDRIX4LSxjTdbqfH3Yt2eWDEhjrMG3IafFFzJrZsN
+n4Yci+mV90Hwv3OeQWBMK2Qp2bszWu6zeti7NtLNXpnOxLlM31bYy0Sx91QTb11aZPsGTejHkhs
MEW9882qazKIIjwSPWFv2zYPjVUq8d1PjUTx4ClGH61zdkIHREKBJimtTuHQ60y2wTa7fhS/Towk
kOqiDykrsU7hrJMsafaB1MV5zmvrEiKLxlM/WtPLlMf1wYbxs6OtZK8frcc0auaV1t2NTNGl1yaQ
zF36FepAdk4JsR1C5i8ems9TlNU3mSziRV/bGCbT03IU0XH0n2s3dU+Pi5w4xH0si+fcDU2Um9av
mDUqwmHUc6tRKz+m9EqVXJ1hdqgvGXFtpNluSxFjbygz/7W2/JecHeEUgZB3JGh70g9pxqmcFlcW
dzeUcPJmYGb1iRzhGL/VPdquGiYb189/Nz7kQbeeOZHJ+mJmBemCiydymsndiKu4O9po/kWmnRtQ
Im+JSrOn9tOQzb5MquyNs7M4l1NMsEFDNqCRvugo6wEu4LpEBjpdfNGuYV3LvQJDhIijnfeP3oIg
X6JttEAf64RYOBSGMfMP3WuTQP+pYi0+NQNH+8zUXsqOWwa++6kT/mUqsoNWQXlqtLY5YoD7jl3W
24qiZY/ywPePHl3eRJEOTFHrWqUK8DjQw4oNc50RXEjDJgmmFAqKHQtC6i1irqapoLdUeN56cGCk
sBhxNlrYvOjSVPtRxIBPTPe5dKe92aHVqzxxLcrsezcvCpqhls8ltItyXAAErNVOdWV7h7Rc4oGS
imhmDd6DMvRbXFbvfAU1uChK8MkUdzPm45dMKNeI24td4wGG70GkbUwq4j0a3RYk/66OYRL7jWOc
p1z71MbB2ZdePe9c4nh2dfLeRYUK4nAkW64kUgFtxiUsiW2NciK1cg8XfKj64tpmn35VbhLPKD4I
VCIdE/kKjp/oUmcLqsQw050tUo5GTlJtbIWJQ8Nu/dUeaA5DuMmqPDzmUns1666+yojjlmuJcN+0
YkOu7PzUqqG8gzsvGcpvh5jVBS2f6Q6NIL0pEp4JLv3a6rU8VljGkObpyGiSeUAjW3aXvqwNMhBY
PxgAfUgvu2A6si+On/0gvDU/EBiMs7qbX/yc0QftuvaqxpWnk2NAM+iFc45PyGDhnggGCmWMnRiX
ZjD4z/S9sxdN+51PXQUXfh7W1rLUGevsrOiMXHI9R4kTJWxtsMTOTmbeUquqbr5wi2su3/7cMAa2
CyTZay1BsOdYpXvSTASr5FFa28Sy+JJZnL0mxshGIqLhbHZ2B2Bqgo/Uzm7wMFwY45JIIllRMiqq
9h7JIXPqeOdm4JRqRFp1Hqf0S09wmKcL/V4xsJJx78DMbLQ14cktnSgjeKwU+QioflMtcGXH75ty
vPfsDoGt4+6NZIbwRkYta3SadypVdztixRkBIoiFuvEOqNC9aZePkOMh9qktmt99xY+1pqYRG9Sh
7sWZm4+5IP1P9Ug4mkg4O6vNvkXL8cTFUQ3IQXsCUJKiT59UgI5R21BGusEwNVsW1U+4w8cLcwNt
34wqZszB2LGWnPZHYjN9q14xxKJiLSmLkcRA1+85OdDs8lYa/otVCWPRGmR10jWH5hPn4QaGohG7
5TYN5amxoRTKGtncMOA34zOhSeyGvdfTkIuUeB8qlmXN+IMGZhZM1hTvwrEguKVuXZKNkPObRmee
a9AutT6nN9bJNUuBxF57sc0soqwrzKJkTLadLV5p6A90uumxBrY7Tq/WQmqKOGRFBIEPuju9jNLm
EXrioSsTMOuW8iwR23A2zjQXMBqlGiOSavI2Ydujy8FCM4nYeHVNPikS3sIysNeYtHlHr/4Fr8c6
aNTF13Ks1zTiNpmWON9NPIouSRFub3YcmHrvJJaDZ+HqfUAUYgObYd3WE/lnqDs2MKbaALwE/bvi
NKDmw0Ub22ikF/skbJgzQ6wjQenpnTQDkHWKVq/s0u5YI7dgpulcQaolm5kF17l1jC/ERKjI6d75
sd6S0SP7OmlB+5k96gJHse7UYzLILeNtMKtPy2jGa+jtjcKXrJ9ZANWhT/3hFM9zjCFZtfvS7utv
hqttxyJ5KYyx3Gq9093nqjhYTbquwOetH5O5LGdXr8XoBZ2Y+PWMJOKEY4irYaUnd3rtLQToE0Ei
HCDz6VbFxBaEzvjN9ki5S/1wY1RmoLFSOufWp4Ycdx/10YahRPP/2DuX5UiRLlu/SlvPKQMHHBj0
4EQQd4XuUio1wZTKFPf7xYGnPx9k/VX1n8Fp63lPsAhJmQpFgLN977W+xW2zd3wmmOF2ymR06Uqd
lcNIg9c86nZuhHukMDrGxMSX7uImphsCtQflghX67UQ+WpHTgu3UpZ8Gdf8cIlaCAQICPnmldKqJ
mgHkZaeNvuvlkrxhMioBSHMCPfqCVHq8eNaoLhOTorG1zXOv0vraIFg5eO78A3JecdGFmV/WR6Vd
kc6TGq9h3VT7wCznc2hxWB+NM1lD5EzQS8raq6PR2F5SRDsbnUBjBNNWCGRjbgzaYuzLR4V9iEky
H3MxLICxhKCb0inwK6Sz8Tw1IdkKZCYTjUX2xVhE47VhfL/aywrGq09z8okQ6662Avm9Zb9CIuH3
anT6RzOLq4ujYBx2iihqSaSimS6mgphmYFvOV0FO2IOZvCNLtJ+IAjtYkzcgMIPfnl/KqiW+rhQC
HOpXGedvEZX/gfEDXV3U69yUZ2dPbXtmZEb9lcfnOBzfLD1nmYvc0fdck01knnys+ogxnGhPq7i+
zpYKNyilUZergkam61YHNxqeIy+BphSxUtKG+uh5IQlavQ1qii+jswGQ2lzGjS4XvUp3GSzrNTfG
R+R5nk/i+mcSzzlQTKiwgtxEe7avVuCWftvh3vWs3gcxx8bQHS4N46KLF+Q3VQ/AVVXYeInqcTYm
EZl+5QHEsc2XEN/7mTJJ+h1Tbrqn3B06GEGrTnZoxG1cTeY+XoTLheZWjANBZmZ9TpgtProd+m53
3+Z0T2JlatuJ/CXhVM89INVd6LJKFHqA8Zzp1DYppm6bEna4aUca5o1n0FZUXYAtPU12LeQqRnul
/RDHMkOfap+SKxrI4MVsaxRFrPZbT6JIiZ2M3mgxfSANr4+6fQ41TV5pZVH2C20Xt7p4cTPnF5kv
R8V985Azecn7tkb17sa4LunpzrbNfWAqIXsxX1RIEIqIxnM9HE2lkxuZ/8DoUh6GMr6LaMhCizRa
okzlrpXqkPaJ86mOLamAalb9YymaOzdSjd/YGvHXPf1PwBIEgKWD6UepZ1BpC+OuHrprYmFbzsu3
nJbaBjuRw/oC6VNUDnizgF2eg2hi8kgdOXpZh+9FQhQbQw8qq5Nn17HoP8fEoC9JMrw5OS+1wYik
dohWHK0Et3iXq11XEQbB3AKLYCl86XrGlQ3KQxMYDYlCzXdwX7eibPP7zhZ7M1bhtXWN+6mP4KPo
GcCwMifxJ8RQrxdE62FYIbNOWzSP6lazSGdr5vZx9RN0lvGMwLM8dR11kWUlT0lTDse5kK+d5YAA
rJwJl4r201bcKfIorXfa5HnYbRQ2PaZOYEkN86bouo+wqbtLPEyLgNT+bXz+XyLKf0NEMTz7/wtE
+T9N+lG0H+0/cSi//82fNBTX+wOJvoUxFVsdMW0OwSZ/0lA86w9psCBJPHW2jXsVn/CfSBRT/rG4
Hy1oJaZp08vkX/2JRDHNP3TD4KddvrzkofyPklVICuLv+YeT3DYM/jsdWbtjGDawFfn/uJVryGFW
JXrrhODXRe1jsULm7QVEwGtmOTGci5g+v7QAvu+ddouPRZ6k13x3Rvap+GDjYwgGypX599bLItoq
bgNvlN2AAWwLUMy1zFV8Mud+3MHTkOeIAHF2Lj2NwV0iSB1MAvqgQ08y/JSMB09LAE8z/A9Txk2I
xibcPFc/ckkK1nJKTBxT9l4IM93FAel4qYG1cBskQMr0grt8hKFy0zngGnPDJM2wdL5YQ+RTS9tO
UagJaE53mR0QZ8tYvOihjNIIg5o/6vYB6Bbx6wQpSx21vzNF91bhiVOmA5zM309NFdHMnQEO1+7k
U6K2UICt29wt5/skTsjCa9k6tQ+RVN2N5iYzGyeW6rKk01xmGFrSBJZJEt8vsIOYPu62FMl4Zy9b
Frfcd5jpdojlDLiEmGYsshTB0pS/Ctv5FThmxn6tfPMmkW9yVVBQzJdpnvGRloW+1Ukr3dwaA6Hy
ZQ+pMMBb1ICbG+qNFImJBXB6Vbl4yqlhqI6jb96MW37ssCFPuVbwsQIim9VXkI13Hf6cjB6UTwA5
2Ogh0iDoVtgiUOamfWxdpFo6rvoyb8SwOQMeVL2oNvgnvwUl/ivQBA2R8ME+CGP0BrLeB8AI81or
ceUM+oFO/NU2EI3WjGU99zyUZs1embQ35D/Bhs5TSOlA15LsKAlkPZq2oU3HhNH8pm4QeMQL5lBi
OJpV8V7q6WPZNienrd7p1MebOvfm2wBpITXxOjFu4tPktbcirGn2ptZWygg3p16808fwauzcbXJw
IEaIsPhM0Ij00fi4jDbcKTnS+E03iT2+R+4CJJHGVuUW3XTdAMoWniZZGcdOum96Y/f7rCFOGnbQ
T41uJcTuwKuemwyroJMRuWYazgf17nfLBdMnez7d2i4/nAEAL1HLBZhnJt2xpjnHPBRXQsZTbI9B
cAE0m1ZYTASNJGBY4GhJzvmuV/GvWTRwMgjQxo9t7SGOENHKfISheMKMesN8OuHlhh+DCO1TGtxr
STjuvHx6S0xxFLk8TKLzVW0jHGpD79HJuXlrv+w50h/b0f4c4sw6pEV4TIr2ZxBBok6zKWIELx5a
5T5lEVnir2XiVvuCV73pXeQFy5587OV9k6JpK7dG68W+5tRsOtOEOgy8qpmUpR8AnDfankxTl/Wj
6oDKmO9AVpPdwJ1tW6KKZb+3ZTMEbdUO+FA7TPHFI5Ka4SBnGikgYl+jPvELiQpo5IKORPZa6db3
Emdy1HSXkL2Gh6dqo+9Uqa78TfQTrkbsPiZccZ1L45K0yKBxwPQh+doWnkH3bYDhmanmIFITh5B2
GjIHTpsHZxvNV90nx9Gqe0TfxgYRcwxqI/8UA+KMKc/va6fD3ZDFhINHg89++xp6hLfkBVl2eY1D
kpTSHmqv+tJMhNVaBi6+19HfEC6kNcnZ1az3NouiWwuxXPC9liP0wjGSZ+IwQdLHPe0xCmMK3C9E
H+5GZAiyw0e3CjC/YY9/ssTZEc5PBLnuPmeOu4uxbtHTIaQ8tKKdHtYpmLjhBHv5LIqm20EeeiNT
szhzD+A0x5m/KYFlb2HAfUeL+Tgu1hYuSnWivQDffJnvulrBX9O0iImBaw4jdBH6IlNFFIKAyHd0
ltlrPi9hIYORsJbF5MrF47uatNTXF3uf5vyw4mtjNz8BtBK3jRZldqrCL9ss3+PbMg58avSlsn3e
J3dmWmf7KcX6gmITXVNA78RlX2G0ukezrjmTJgtBM2XO2eB7vKG5t5WsPsc0q4tN9rMckXiEqoR1
496LGLgCcxyCT1N2tnWG/anqh50mPffSq/BRdKUGH1QjbzQQW9320UlfJx0EjhnjrY/hYIYI+M8O
UXlEPLbZYaQXPpXjTR6018glaX1GoOW7Gc6w0Uy0Qzdh4PUstLUVcBQjKgmiVFG47+r8NbBp8wsx
bruojXdmoGC1D5II8TkRaCn5DUS870UutI/RyMQRQDO3WAIX2LoWdwNTLbj57o2nOgS7JfTOdnzT
yHZAwfSmdUW7zbCq0hIB1auTHgqF3gX8jvotTu8apsKo6Bk/WQXaOxpgB5voAER4rHjepgRqdEim
hoF0w648M+1XtwxfazaGu3poNDIEcgxSdmEiqS0xGU8uEov+NpPCPKgsDX0lCRYWYfpRxeolKRty
zd1ja3muT0xquBUp5lJ1LMKkPwqau/sONi3nDADMftyA3bgrhpl8RO8csn2BrE1na6E3gKUmcss8
kmhukhEaH9FOxMxcvNdBRi8xe6kQh1YsvYNumXCdquGGfgovtQ/5ZNE2bwTjI8RGCdG03FUHm4Hd
AF2aO9CwU/UrqO7SlwHdh2rmBzEos/uCwLCh6VKk01NaiDvZ8Ro1FhLiW2PtGC9xHVrXoKjpNlka
TA9TLt/xDdKFGtVpjg3vYocYjEsMSg2M+aDhQqZlcTCqProGgHviKe9uaEWxZyiP0Ltin/3vx8QQ
KxGXInDQXVTWFzYazvxpT0YPGKea7QhyRT1Dgjoqr/T7GOJ/r0V3dEuzq0FqW8jFZ4/mNZjNoxH3
8kQrY+uWvKExrgF9Dn553bc8sa1tg0F8q8MkiRjBgtHJTwbE+Z3mTPf2XT9x4qVG/S51gAWa4gat
kC6QGqr8pKkY9OZEvfdpfEA67CuEnqwt1o+GC9HP9P4N4hajZsSuss+kP785eveOERIGTeDel1Rv
+Pumlm6hFV6gnrwbybIrEw4VkEqfE01jRr3ctfswIDJd171zwhvoBNawc8I28M28fZs1EwKEVV0R
6MNmD58BTkZ7Pf+F5JxZ9mQzG21Pgco+yJNms19xJyUMd9Hws1i1cZscUZhB0vEeGKKPWzujEoyt
6dsUm7VPu3ZEvMpOVq9bjT05iUlcYYS2dOKUNICwg94IiAh2U3qdRkjffzzNyo53SRcRp1sGMLjm
eFvODN1nj7WLKrDfDO5pNPnU0wmGhWESlzTkpu8NcX9TtXPs08PM/SZKITYE3rH3PJo5ZkVUjRl9
ZGmktmnZ7LPZRXlajzunNCc/RPfKGckJmjHUFaQXzP3zMJIQHLRKv2Yk1EaJs0flXPpWKN5sp652
hQSi4rbj75qLnqU/kU9zcpOWszY4t1pS+QxcDDtjG+rKm8p00HhLboGTXhsEnFJZNOhJDQOnWWKb
sa/3WFaDagfS885TA9mg3cRLqvVHZnXHLmgeoxh2gj0bLoPA2a/5EBomWL1hfmv7bjoZSVXtkyKA
0mZKSgnUmdpQO7QHvOGYdfbB9mx253yY23yU3m4yw+wkLaZn81tG7YKpnzmsGJvh6szOu5HXP/og
rP2mCHHY9zsxBO3GSNziMC6ZEkk2XqY+JEeZLcc2F8OX0YYOgD54uo7JojwpR9JuipayzaLcXKA/
1vh9KJV5q76UWX1MkdzXpXnNBWPXOAMAHPXmWw0yv0/BuVhLhzaLaTKM7p4S0T3XJVwuJJNNUu1b
LAAnYSgYL32v+yqaH5Hxj35G825vOvjDWqS4Q9X7Y4XoyO4sOPija7LrQKHZ6AQLSid9JFtYYh5L
nnBZkzLbddOiFsG/L2iu6fodYgXKTcCDqYOtJ/MIbZFMdIuT89N1wp2t98Zm0Aquk8ZPXQWTOhsu
Zf5zjjzsCAOudum6F3au+vOkoOwBDMN2sY/L9pNa6Z1KrxhJACpLtFPwOH071Z1dM/XtrhuJmBeh
sSlFiKRTloQ9kC8A/oIIaTkQkwUwP4c6rbNt8UmfuQkn/ZQYvbz2AMG3ihz6GSjnnqwkhsiFuSsS
XD9ti/Tb1QBWw6g3SaYenL1rmCiPoojiK+vukKqRhzy4LHEMWNNSu6RcgKfGFMjzbbgQSffNjaIF
eJW85y0+qkRjpjoH6LaQmtBMLNAj94rB/MZ76KcEQ4PXn0YHmWboEjvUQwQxmxnxi/mVmdnTULOU
SuPqRohoBm+Q26T0dlmq34XtXo+R9lpBC8+FSUXYmO5OLWpxPApBHJy0lPEparzXEJEwEgFVHhgA
LB61l5ld2MYZLlLcDSG1RKiT81iMchs2erybUAaGtvZplge9o5Qt2sHatSlt7pITeW9hPmq09pDG
2o9EMbWhF4CUr+QOZ8PA2bLZIcLAgcMo9PBs7YAJ+IiAz262+NXrmnDkiFNMGJGxobXVbFMaom5b
58yHUpPdqks+upl9udidIkAKCbTPQ5lW47aavO+xJb4ZetA9wfx+1NHG+Ul1JNXc2ibhi0OEM6lM
5D+EbNmLib1J/WihDdt68wDIC02Az9Bygy7tw4A1sZVgJfeypcpCdu2j0oPkUabPnjPckHTVHMve
eta8qN5UzbRfIod7/TlJTJqmI/SOnliZyIgueh9jHkVptfXc+nWa8A1OEwrxMLaxVNgvVZLwsYs3
D0uOj+2e+x5llGn4zJ8LpI8JkHT4znuIMf6QyTPN7sbvGS6guLD2Zmqo7VB+71ot2JaxPuyFeldx
hOuNpSAuXPeQROLJhdyc6Vb1bOUHjKhki0iw942O5c91/GHuuOehL7YhUXohWv0y+SzC6Fvi1vYN
fZ7rrE3uhvvlaHwR9Pce9sHZ7XQGfhgAyaxbppZqJzCO4i5CKwCye6vZXMMRs0qD14h1Eb3PTDgO
LYjgFBJPtCSgTNkN40IGWCq5dXT1sy++hPI8v6Rdu9H7HgVISmCSUkylNGyTzFUJSFODT+N7X8iR
GWeYELhT3jpQix4wjW5ISINMJ2BY1YaGBNC96mhr2L1ppA2CqgFy+JgFTXDs23ibd+wq3RorGLQa
dURA4pdZd9NZ9syaSo+K2cUeBNyzULVzcs35W+7sSw2vX56wuJQALdO8E8eOikcy9vIHBROfoQjq
bLe6RamWckNl32RmxdWwSVLr3MlgPdVfq8F7aUyuNAZm2ETnvSnFp8KYsJEEzU8WKnkk33jfu+gq
6WrZIrzC+n4edJaoeAnLGBgThnnyNEbQxYuItswWON1ThtGXvRjKv5rWUFdNitNJF4/FHL+hZm8f
jUWHj2D7Y7YPqk2qE56YN4km/tp5HSBHTKyQ//hEWcBiq0L7hNui7fmsfz9cnyf5z5TkshPqyQSl
/byrGsJ414Mh3YPkmjusz9bIzNooCHm3gnuhdwgpaE1jCvHOWN+1fdDrd0OsY2vLe9ialnEKFkO9
PbkxCtzlocpcTBUJVZcRs5Kl/XHdTLqNhR0nHM1tJNvhISL7a6rVV4HHCSk44VihiO5bR7z2bQO4
yx0KxuOUDgNBIh0r8qfS0B7Y/Q+VVaca6wX6E7u4tDza6r0kWT1TcEnjwOWVjSxMdcb7GTaftPpP
kjHhMbF7VjTD3vFOF2hM8HcaIr1bLtcNnp5ppz3pTmRtgCnem4Fz1ZSkhpzS3o/D6qR3PU0gI2ZL
px/NtpseA60cKU52g551j5pNVr2OSyY05dVy83Oqsnep1G0Z4o0uNUSCaXgrnAvuwRcsiyk6GZyi
5AGRr86pXbk5Yzf8OLr+TvAJsS79oHOGoHSdXPGYea7wO6f6zu3hYujduU6YS+TJjKTQtm+CqqCi
01Lr0FSG5zuZe5t2+Dgq8VYRSVJX+MUoED/70as3EKxjYvBwyyGbTGomZO2QCU56lpW5AtogfTS7
sX4PmmhBZkLvQRhEfzbYiMJgDFi3t86kmwhlGR1qO0qyh8HW0kPZLXh3Z3hj8L11AERtVJ6TWkc2
RRYjiq/NPUjgbeowCsbdNAMgytIL7YRbCxfpNGn13l4YL8ozO+aaUe/rCxRG/HUwl3hYc/mR9Ws2
eKythjUNFSYYGTXmww4B+WeVZ+Is5/Cu5VQCC8azoM5f2tz9EQ90TeqWYJk5A9W8XhwyrsqzpbuC
RQZ2a9bLcxmn5rk7L27Ic+EpujLK9c2xflsTVaECoDejhqwIWCY1pbUkK9XyssB9QXie2fvNDmFl
60vtBsbYbIoiF+OTeQiH9B0030OTUPK7C61oPfwObP37ucEHRdJrdFpf4nqYipH37ff1LI4W7fRT
yc6ow8+0J+2vWbhFkO8IssUM6ezJ47uGLa503Fg0c9ht1qfO/bZejKZDRwtkxdFa/vb1vzTC8F//
+/K7zTSmQRq6OcJ7fkmmMcVe/2Lb6cHurO/D+ryIvGbviOnRNvsf3oD9IaJ9olo+XRuyEMiVGB10
Pyp4CRblFPsxHVGEWbAZC9UZoxo+B3gFUGl4kcsrXVeR9WnZmDMCDvZN+BXL8/rSGzN7q7lbcYsB
duSRfoiE1Toyb+mORVDuXIflF4MlZSOUPcIU0XfaCXCyMc8xga9kBQ3mBBRh7/HP6FbrGFXlcKAG
W8gRkEIBS2DNXdAJE9TSA0ZSMj/iBCBLHFgYn3t2ZGOkdl6TqrMedjmKS0f6+bxAZ1Zuw/p70DKx
l8Fky8KRdmdHc9qzreH401oBfBR1+Jbm4lQdlwpjXX/TiBG1V7S3HUmYfITIoKzaoxpNQZAEC/to
fbQe1jMOquzXrI9IkouI00wQXxi4enb8fams18tyEEugNXW685uu0q9clZWj4vGPCS9sHb+Kk54z
H+cPvCeidnqTQi/eYVw4VROc07Gyf6FMF2c4l7cunQK84P1wXg+m05Q7u+OSd5xsOJtV7XLOm6Oz
xQFM3yjA6OZkrDaQYOKWUp3N1RI4GhzSMYkvIzc2H3MObKvlhFwP1XI+r4+iWMPEFna+1izx9fYC
7QoBov4+zMup8dnLnrssaldz0ZOb516+6EXSndbPQfzF1Jjp5rhC+9QGm62gjH/UygPMnhbzTWt1
QDvCpDmE+vwyCiIM7Ti/mzSXjJLlUMfRvtfEtG/b6FW32dKN7vTn94xGO9iIv07OWNo3yFgXnDAh
9BUbJjxm1o106XRlsTysP0CoVkvoCKnLy/eMXN20MvhSFvQbE3+g1aA7w43ZbYQKB2sT5s1wMLnQ
Nk1V5LeDZR6HzGNyTjfUGJqSBSqwo2uNom1jjyipFMCMm7GErZcNT/QW6OA2FEliedF6w4yLsKYB
qbAurtHItlQbeKpZM+FEPbdHs7/pHOsCpeuYzvm19zLaF2QcXoPpq+wNZHWipYdEw20zR1N6wotx
dEOp75OO3bNCdz6RWCuMK0umuA4NohzhMlCwUpjYaT0f+1qDSDRk+44tFoFz2vc6BGXRY8jSSrRv
QYG9CCQcDubRftDhhiF8y9+riW6PrWdv2OTVzq44GZARfcZNfp8vsYYT+rVDX1Nj6zcxmspdJOMb
wxbVpYfYtxETcCtptAnbkyhkrjk18XZV5Px9cEYhN5B9DCKgbsTgyD3EzAcat3q5QQqXXVDDwp2Y
O2qQEGFFzK2OyDofn4I4u60mKIV4ZCUC9ruQKAVRa5mzm/0+kK1HE4iYSWL+fo2TE/uRne9ij4zL
cgrF2bBMA1wCj8DZI+f667B+I0K3cR4DAriBHGbb9buotKj+Kptwp7/+g79/2DLi15b++r5Gd3ce
LCHPokzAua0P8aFqiOkiP8OMijIGfRY/8PehUaXz+2nRwIIp7cXCPZiUaKNzRl6gE6S+3Enok5/x
u7jnURf4gXMdGihJVVSEU8vJqWoyMjGm/KC5soTAInDP1cFTQYRanivGA0nArYDPheUxhAitc+M8
Vayq8D66M9iOjKY8vmMnTNXFQKZrJWr0W2K4tkagTpZgXeu0tNzbrAIbmOGfdqRzebff0Cn9oruC
oq17M8uay4sks75sn+OUPW7qelje4DKiFtzwPh5pt/a3RRD9RDgeACLNoq2pKkZvzU60uVx7mGcz
zd4NdU0mRR+DTtogF+qlyD5Hva53Jm9Z1rSfsKiJA+x23mg+J94bvrnQB36abDtreuGWjYgZ8NB2
UnS6yubJcRl8uRJ0QNOxz84hbZeEuEXxc6SDnKKZgckSafRY5t+yNkEwhvypMHtusqx4NgShtoUW
0dm024rk3m2jc5ARxlun0fOQv8c5jIJQvzMn4MGunt+VQiMGNg9egm652MsdJhhyvorqZBQj3aGa
YmEGLJk4GR7jorp1aWsbDQi7IBjOeMO7y9KWXap+DBJfjgaKUjhHifzQnCzbFw630jnrfnBnUHtX
3GUgU5jj348lIuwkeqsnZmxe9oxjZzmxuGKgAqjiuXECgqNjkj/nkjOAlfLgeaMkZWkkQQjtMcb0
u4HuYjE2vEeY7duqpGNMZm2z01vr4rAohvbGFrgn5mq6zVMIV9lz28GGhqZ5P7MAcgUHOxLXBrBo
Hc3bWb/WQfC9M2hTxjCc6xw6wMj7E39UTAKcPNqXRX0LNfQaafeaqJDtMPL2sgcogPBBDRw8xa00
oFrGzgn59M/BKW7rIGGkMMQfCDd2I460yhy4o0HJddNt2po7BNzE6ho4hD2E9cSML45RRRpeT8/A
hRBPyw9V8MaCQmVb4oZGIOGqrn5VAbGrivLThHyR5je0zy2yM7MvDbZk3PKp2s3nWM1XF/NjqkJk
1OFrIwGxy5vAsX82mBPQcW3o/z2NKPvY3KSnevSSywQS3belaW1mcmcvXO3GZX20HvrF3zq5rKV5
lLxXM7G3k0PJhtc72iNC+CZseJ0JBG46/VHEZD3a5MsSwMwB3ZrqdRxQyQO8HBzSOJwnrznrBZe9
bDxy39fnbevMflxSdSvReZt0JBMVhtQGIXXNHo6VV4Wp+T2i9thk3cRKSa1mLvtMehV8mB3d0nOz
HESkaEtVU8LV2Ta7OHRgeCV+bIr6vNJEDY99bCzJa1QLcGs9OI7z0OZzs686WsebVa43uWYFjG78
IWc92WY5m5gVUjkMJLMFGAkAOS5yghLsYkD9vX5zvEvanPjRZfdiLAeEl1RoJA106CdpMOV1gvSE
bN0k4Voha3va1BZgAKfgGk4hup41cHfc5rhFonKA4jvjyMehuB0iWxGoOsfxBgN6wURXqnO4HHK2
PGf93VzqbVDbT27BX1Joyy1v/aElH/AYQSEnKKA5t5FTwxWNyANZH45JFZzGZmekpAy2bvhNEHvL
S0YqS9m17LHGhc3X89ZsrR5VBsBvs7+MIcWe6HNa8UuFarYTMFZE9wx1/3peGPaJhJwOp6Fi2vv3
r0+WF8Jgj0k3a4vOCZGnlovPPJAbKFDNef3a+mg9aKK8Kbn0qY+88Uyp4hyJONkF2fzdtNqOnWvx
ai/UUu4FAKUzmkwEuTKkKxcxad+/6W1MSxhu+rEBIyh7nTju5RA6JtSFGM5MKw3uRsshnLlgQ3Ih
CnrD5/VgR87ODbTk2K1/YTtjwoD+CVu0TcSWUHjaWEYCe6wyXzKNZXE3LnrnBfHuV43OOt0PBMcv
tTalLtuNWIa7duXCrV/MFmKc6rynFaL/v2K9/06sJ0lD+UfegP/RffzHr6IDdn37kf/6r/+88KT/
TKd/U+v9/kf/kusZf3gO3E2iJKQtxd9iPXR8NtIJadgkW1mWbSKj+5dYz/sDLj5xMDpjKCkMHXz+
v8R68g/G2Z6JitAyJJEG8n+SX7ZmNv0d+mKTPKYbkuoZUaCHQWpNSvlHWI4pzaih/YERDelckTGK
TOvK8Hs5aqeyCq6BF55RyzXnzLGe84q8zxkG+lEfH2ItOyeaGk9F1wwbr0mCvQ6zGCM7FpKRhNyN
VM2SBJ9bflfRMMpGF91t8pRqnb2j25L5ukQEEFAaK48pharVr0bs4RrNH//4SO5//zn/URBWX8bY
I/7rP4Wl/3uW0fJ38k4hgNQF2kiD4JF/D4FAUD9RbbkSNzL7adyh+zFO82MADOn3EkHvgG24xz5i
XSdCUFPnsHSJQasXwO+cHQtDfy0CwjFtvaLdaeebGZPQJWGDGknqAdIEz71nvEioFFu2kk+Fpv+g
Z2HdrwfoU7R7vVFHwgXqQIb+KNQp1vJ95lT1tisSwuIkCIY9Dlp10bIS452GPmfO691Eo3ujB0Jd
vDYNee3WR8ouGXYEnASWuWdXQyktl4PXaazKoHAXnfB6aDuln6cUvt+sPfz9Zc9ZcsXzEAsNYZwt
3cOjGQtSHpdDFIOnIpEHn9yiMf+bkG0GwcMYlwb6uw7gsCHzhDxzYCHQUcSvoQQePlkh1f7SIg6n
+q3UYw9mO40J2rBUZJ4TILTT9XOlheTrSu8W8yCz0tVZZILJRl2UzZ+GlU9Efz1kxBqcZ9pfe4RH
5JtBZq/KPDhbEosOiEt4mMvTuWN+//dh/ZpWsSm0JudYccsF7dbej8tPYbnatRQTR4G30E+yCRlP
hhcrFVOzcwx+GAT5BDUS/lHQe9a5zgb7vD5CHIkq/1uq1cOeag9Rpx10cAxwM2T1sQrZqDHSjYZz
4CH2bxeEt9LoJruI57eWSaJH0NUfIu2NnQ524xwtnG28fw9UUAYiH7EHWsNIRTrNRsAG2a2HSsIC
MMMyxqlKnCj7j3GfVv3r+qX1EJKuexlyGuyebT4gFtJQKfW9dl4PlftllKhis8JrN6H1zsZ3OEF+
kDYnVa2Pjg8c3oYkNDe+pWwS3ymARTNfYtPrd0NtXpqyuUHcWjIlE++uZDrZprsR/c9vZvhKCq9i
KAulqb2WGl2sinDcU1dZDEtjUW4A69sFDINmuKxlUrjKFgYXtmLrvXoyyfdBkehnWhLIPmZ5alE4
XGDhSVI6Eb8lDVnm6AS2432fGzF4ryWhNI8PtRfiN6zdo/Bs6sQ0PDpJwT2UmyZTE49fHUvN84lo
ng5al91kugY+WYOOp8FiPRXBe2/1xn7GAUexNqSHtbIzG66hUQ9pCdUCwuhYPmgLGrXyIBRH1Lg7
WX7j3zsnPi5xniXgJMSadA7rbDx2yEI65nW0U7lE84Hppl6ScCXqPfJ6C8Eq6mLZXlKc8L6outcm
7j4keLHz2B/H2WUogv646BnL9irKDlFcPzGrHC5kulT0ifegz1/qfHb9CrcailRrYSegBcjdHYog
byOz6rupIgx0DFQc+joQPyPSXTAp0gok/m4mck6YDLT5+4rXopP5fgTUdxrCz5LOId0DDpn3yMKB
cd4m4sBj8wJ/lEWRG2Z9tOiVB7VNQvGYP+BbxzalkyhtWX24y9mFZS2hIxGahw5AC9xzdJcdxBuE
YoO2xxF/p7XmdC5dYZ68kNwBWm7sHi+yS788dukYVqDHBdouFcR3lPpezSFxrgLCI7mTey3z3iLH
gnlNhI0eZq9mqcpTxE6EDmqNWxwf3UR7n/6jRtsqkR9dazJeWzZQUU1GclKnzyokQL02XwpBlT1h
9u/6GkRr3W5zN/g1OU9WWLwHHYsvkNPfaPwMlHkMtly6+TtRaZJ89xDflWcN/5e981iSG0uz9Lv0
HtXAhbhAW88sXGuP8BAMcgNjKGiNC/X0/SFYXcnKKquy2c8iPTPJEO5wB/CLc76zqHPZr5AN8RGu
nRfNoaGhmYIMxly5HVXGugkThwqpGZtgIYTTbJiuP/vzbJLrxE2az43B5oqKs9kQJo/wYkpvcL/4
WmkfJzESnNRm6zLXw3UryJTQ9Hzv1dglQ9AE+LnliihS+2KErGaI9oHShGpqxmLw5vRkHO8icH5L
BdoEuAN4Q2/CHshevJJ1u7ewrB1z85YO1oD8VT9nofndgmCE5bOJsCCOKEhdvPcBIQ+resDSZOQY
cm1wy5nCmdqSWZUQA7Eg3n1jEkl2MUwtJEEoxX2XgBkQZFagTmvWJhSxjTsgpfaxYG/10Xsd4mJD
AIh/z8Qb/mig+yvP7q6lDI4Y6feVYDVPV7j+6iEYZee7RhAZQwoBG89dDKwazI1/BV2WoHCsviEo
QE3uBbD38Y7WEeVL2NWvsg6RCgcm08VBIwpLi1tQaN20TzRnFweM7c1+XKNuDGmnlLEr/Ok81L23
JJ+vXtnVqjE7uTRLYiYnxGOpPaVbv6UdCDx2cKlX9UvSJzYdRG2madqTjFgNQgXS7h3Wz6kXO5ci
EwdBMwiHdKU5b74f8O/SsZcNPgIQvITKtKjxZBeNu1lCpZIhX2OYhP1Kj6+kmy77Kv8e6VRm/W3g
ZMZpbCJ6cf273hHVg1OmZ0sqpBaAhWpIJeva1DbzpWxjtsWV8WT2BBG0Eck3x/Oo9hxWHZGwHSSZ
NW7LsVrBgAonuJfo2M5TGa96aWSc5+oexHC61RQrRNX9sFv7OUrpeWD4yYUNFH5tWIm2QieSLsH+
bIsA3Eik+nXR8vazHTDXUesoFicUhboHqoKUvRO5J+JbWlzt8Oa3LXCbwP1e5WhyG+Jq1iNDNrJn
aLRfUnTXSyLU6rVqTGsrSN9bSle+xLBp1r6aW/XMwTDVpOIuC0EkFT6GwczFON8/AtUm0bWzPlM6
dnKom1PiMm72qMgiVc3Jt064TA2bZZzMnX1cMm1rPvG5W0cFT4a59JYJGg4vhUAozyoIM1bxs2gQ
HvRthy7Lib3dgCYGe6dfsZcE4QJoeVoovzwgim0BElbcQh4tkbG6KbOTMVRnV3Bgohil1dTs3d7Y
GYPXL8lI6n+M+tnq3RF5bAbZRzHSU9qqhnY0jzBWnVPKo2TTYXjpe+OWy6yZ8hfLZmlVJixgreLc
poZFrFiTr6cIs4CbmCPoUdJsJGZZQntYaBdiJjOCGq+TaliqYjyVpE5sKf8Impj7dpsHrayzs4zx
d6uXos5eiSdkYk3tHjfvvOkPhdndJzYjBiLI78CcLbAX5xv2hkyDPStjPPXUfNV5QbxLUwNCYo5P
0RtfUeGwQE9CjL/mpqr8pRNY93IS1ymXxi6D1rSEu5MwwPGugZ/vislcoz8kucRn4ipzpFds+z6G
EmR64NwThOqsVC7OmovP3EnqDRA5Fw20B+hH/RhSl1oqeUEuijQz/um0DUoJy9yjsN20POVVQpAs
m5LmziggQbM4sVepqxCmlLra+to+V361KCJBTlMN4kKmSGhEXXxrx/cxB60b5M5lrLx62+VwsmJV
PaHBfh4GODel/1AIVuRQkl5btM7ElmT1zhuey1yy0MGuAOZ5G6G+ymPFgrvgk13vmQsipjMBLwjk
mmYzsINn+QGJxMYUjzqC04l8s1EQimIM+orZyqUrg13Au7zJ3RSsCsHyAchZ5SPssAGTmVP6DPju
Ik2SeAJhL3QD2LjVRSdS50LcmwIsswWxy3M/CvWzb8QT95ut6TG7dmz1WYpuD2GYzysYT5CI5F9S
c35KlSKzyvKj2ePAR/Z+9orgqCX3sF37GzgeysLaWeXRdDNEdIuZIi0c1p4sL96m/HupsPNHPmUQ
sWp8DvtTYJe3EPWGlupPmZ+A4HXzvS6gJetl/K1iClI4XY92353wLXekEyCrC9us3ih9EosKbUgY
8N4a05H7fnnvJxfmR1WQxCenNF97I7nVDsLejMH9tpwJGSMABDtx7kRr9ciwKq7DFT79kPpJJ35l
UQX7Ic6r3eR4AGmlRuNEZuu2KlHEwhZWJETE8VL2PWITePJJBX8iZcrMjqvCv2kUiEC6tdOxGhdB
zKHWKSQDN36q0uLeRPO0r427PqEer3nNdm1KqC/y4tUYUZzCPmqleJ+qbukHc1dld+owoJz1nSjc
ysYjdYuWezAZZE4o7khxepEFVNWYz36BwzmjiEHve6uHzNoAoY1XmJhIpki9H5ZZinPDtHzqCcCC
3rVK02s+VM+C9KkFuowB2ze7DvqblDvmBxiN0fSSFWpyD/ok0rqyNTCAWKwTPO0GMKkmbXKEaOzV
2WaSeOHq2npMqvmQci3E67tsfIR3HgYAkoGY0CYZoTLwlArNjIg+pCZGw3NxVVrj+kEMLCLxM8i7
YW0a4opamrINjB9L/KfUmfeR7psf9PeSIS/GVa4ShKwBskjeYrJfYYrY320LOLMeZgmFFbYvg8Uw
kZiQ55eRPaGjTfNdgGq4KiEhp5ZTbOjNFlpgdRcujlNA5RgYLg7r9gLFglJwLJfa8KnG6DvSgx74
u/Hs1cxAxuagwv6tbJEYaePOMy1iZnoWAPidlmsyDKEP9XNRYpA5h8DnTTUhzDjvrWBnYSpaxCIl
cLFQe4UScOlpVcNh8iCLmkep4r1RfPZpMz5qGjWHLoxV1OzNoKXizpx6W6fFmw1EaZ044x2jX5MJ
AEbwmT4Y2pjhjMnZOsOca8n1fcSCuSIjo1/UuO8gmrsh+bx4KkUUoyDrmKV6BsgNIOSwKSnh5Tzv
N22ceMmUbMEAtttugFCPbfNec4InkmFclvVACpPkVublB3zTD+R9iDhrsUY8KMcfHSHWiwaX9pT3
P1LlPkT1rAtOLiJmS12ndQ7x0IMv4/yQVPB6zxohH6S+9HztJW0mjB40DqnMl1ZdPfCDKZugfDJq
ThjL9usyacATDWCgdZciD7YQsB4y21BHfo/SPt9nwXgwRg07jePltLrU0AGMFynXOenHFEXBRdHL
LeO+VAsEpKuS6LkFqQPgo1jUFpCFlxZXd62juXRS6GJa0BPJSYVteyiNhePGq2JAxD1N5aMe5PHG
ycQ6NODOoUeiBvSny/xPtk8RlS7UgE0pzMtk09rfmSDyccUL1I6IdBUFyaimfaiHL4XGdsrTiiPu
fdIDuMeCMkd4WiRUDJwOlAVokdKItL5McvrPBzIpxTd4beXEwZDoi9AkLm2B4ElPypime+ASAPhU
88QPa2IR7icp24CChKxer/gR3mcaJg9lNHsoPzRmARUyGKi1widwz76zoZYt8q51F449IbfOgJ7r
zXNcSARl/pNnOiMrHPcxp4hcAldlP1r491rFjWzwk6VNW7TkDL9Wk/vua5G+nG4eZgIVE5c5FpQb
PQR2PUZGmifQbyMNp5GFtnfR7nTRFcuGwSM3x7fIAFJWCBMOiMRD1ySCXp77RDAMw45MVnaBPVHt
SeFiVIBrP2sLmLtVdOQlY3Vyce3NhHVoY8Vwp3s7DIg3B2NuZlCGnfLVE7xgLYxu/nxGBh00R6+M
jyAtze3oh4xPBDek+LkMrOeUzfQWhRwYGe0N2iP32PZHhH8/mmH3bYc7zcKTQcbtCjXng43cfaFH
2eMYXEuH+NCsjRd+5/Fl/Q4u4aUefAZ2/cZHuPSDvGbSjadk7D8pLWCm3GzSkReuPczkUrJ+fVDC
FRvpVaOZ9CHHup82o8kBpMp/Goz80LBkW7iz/jzlvIod3rs6MFPI4uZ58rnSRXQCaZUgcixGg131
J3UVyBlvvFUocwiJ8JMD6qYZtnVQNfIRrzgJi2o+LbphBzLxyayGB78B9uZa+ip0wo/SsrZO0SRs
4u2bnVbPVmjdxwSt2eqZaIhrozsLhUB1oKaQQ3okbOUBQRrLKqr+MBO3DMOAz3o5Z/G08gN59GAo
In/IcpIgROp/9+luoB4zqhqONp60iGhFo+7pWtDvLMxsrwq187T2qs/nmll8kMTyrZD0EtNAx9W1
b1OBzyY2ZjarcO5a1ZTrzmsf61w8+caD5lgBRhvtE8nm2QWdwWcRaTifntlFkXHnrYe3ZCp32EGC
ZWcgKakx1mnQnGQDng+Z9CsFG4LIMkPfG7xUDqs+QjZpohFwtl10B+XEiZ1P0SUXgHrMyozgZ2h6
dz4dZ1SUVye3PjUteyjm16z17ZNTxKtMzd4aPWIzZGD24J0i3dZij5aSPpi7Z+EheQn7TWe174Y1
7FOO4qXUz0MQib2JDhjHGUlptesjqvSMjdQh3dMHb1KcdZuB3RbV14EOJB3gVoyAuZoxYoQYu9Nh
pJKs2LfaBmGAUdsx1W+1faB5DxG9gllhCJniZ803pl1KyUG6gEHT4XdLJxuxONSTuyibchNgBb8G
ebnsZAaI10IF0/ow2aJxOYg5eo+SGVMmZ2lW8/eqxZQxQXmGCYsWLam2SZlDR83CXSSwBg4YvnwI
jLhAeEOTqX/LWmfC+JKsXWhWTCTpzZ3MrRkRIBaYycjthaXwc4KLEvqo0RoCI4X1DDrLIPcE6fVQ
AslLPIBs2vSaloO2HvkYLaIOuSw6EsYYOEuiCGy/NyXfmngWcjS3yk/NlZOF6cOgH7gQgexqcC3O
06ddVRQ/0CU8eXWBYWAs3i1q3aV2D27oTMg7RzqvEfW03UAmSP3ehniH4FMZ22IcoGaZiTz7FPnU
WtPPIfOGPfti62JNfBDgB9xlkzUdvT5YaazmzyX+27YOsHOP3EO4gqKAv4YhMLhEtSyKTZ000NKB
tWviRPYnY9zVuzQb2ks0wRGbDFwHCl2i2+qw+ayzUEkJgfHTDItshVkUh8TIoLKltOR1mwxtMYgr
4nuopxk3e4TO4dd+FDrs4wlI6sbQsPZkXXw3ap5PBzI89qyQVwWxvuyJprXP/oPsYdwHVc73lX2/
CnLgYpMDJhss0bDKXPvBE1l4RAu7DOP4gBl7PFIlc/kalbVtZP1KrtB7yVjmIHP7IMv0Ls2xpiBR
K4kngMgggSGt/Vi+1uRtN9L1n3F9XmSgXgdmP8eqwOzLXqzZDD1pAg3rZl90isu9GS9c1rQo+eKl
g3r1wCR+Dtf2F50Y1JLGERmgm31gC0yBnjGVEi4dARggxDdlet9ohgVRlvkc42sYkkYKECvctcR9
33r8pLimzH3UgcrStfDZJ3vx4JbDT8CX1QlnKnVvUJYra0CsJVu8/2TdXkPy5sdhHlaSrKEbQIQE
VEekCwvAAQja487GgWJeI8K2trmIPc5aOeyUrCj3Qzzo5KWgILDG21hctQ4BSayX6j7K9bVeiz23
iQrJHFB9y97n9WeNHP3Em/feV3G5jYuJZYansbPTTlLvoqN0X0x2ItsmocSX5NWeVWM/9cKER1Fe
clOsLBrnjcf+nYTmZQa9FCc9qyYXcdph6MgZza6IP1vkR0CkWZyeGM02G9NVUKb16l2q8QbU44aW
79xOzovO3SOx1Av8dHtb9byjkh7Ua4d260QfVZtZ95BInmiXfRy+n5hfFukQWwu7jFAH0tIPOhrc
QFPFeowyUJ6TullFcMfoqN9yKcT21roPeaf5G3tyH30P8YYoih5aQfQRJfmupUdaeSO3+D4hTShC
1ltwShpe8xMPk7udt4WrqB9swK3eC1bxRxBi7dUf0NSnRJkocwxecKDSoZDCNJE1ypIl7FiCoQ3z
o+hbyZZgE4zfgik5YkgAcVjK7xgab00crkLP1KjtYFb1ivAzKgjlUhsSaDIuo7y6j029pwci+w0N
yWyJHvddf5Itc8wUWfOydPHsoIM/yCQJ17UYkaYY4Xnox51tBy4K1KZaRsWUrEGSEm+QTbsisRG3
zIrxtL/0YuKcrC72QSMcF9d2VfMRpOdEU3cqzwlriRt5GAtPMgJ35m4yTIbVFBAm6dqSeO6w+bA0
nmeIW7HoYh8nunWuDaahnTu9If5Z4DwJd6YPe82rXqzedBekD8Qqc2ZvDvAOswl3FnQIuye2ifoO
5oZBEDFsGm0ZJ1TlYZ4sXHM5BQXRqPWIhMb/9AuyxyU7O0NZ4+wjuPhT9kZzFW7xdW+k4/0cSmGy
nSkEo0ToXUEU72X9kfYdeqAIl5cuCEkxQS9dbP+uzkyLHI38hmErXsA44/Qkp8H11I9giJddMxJX
RSh1lXU/i7APTwnb7hUBATafpmRjcrQ6AAjsPUqGO62Osqwurglt87pqfPBkjr4yUSd1JibWkuAC
QIdUf701PEr7RxKS+JxZ6Yb1mzoYtoXlB+BXklcbCdxlaZJAuwsy1tImzkZtCHrUecAR0rJ4UFr0
XGKH8iyINQwW01VXchHIGM/Eap7bT6iL0gaYX+KzrneGPFl9LxhVfws7i+9u1LrWSQKIVBZcMr3s
YcZa+LexR4S9w52+BwCZFKfMgH8+Yench1VlIFzqb/AVnH3y2KYJKedViF4Auh2p2sOm1UMy0wxN
3I8xJNvRe0pSq9kNUS1WlR5irx6LrRA6mxs9eqNsmFatGxVLIc37pPKJ3mDcvIgMKpCyI+spltkt
mR3mvg3lrgfIzlrfRppYJO+BRcIbXNlbC9qL4yKDOyL/+rXbYfFKgf7U6f2UWc51ikqxzCd5s8Gx
jl40XSwaQi7aMO2hNR0sKd7ynkJ9GOC++UIE35L2WqtPn9r8nvgx79LgncrnIOYJ0cOYEFWuhOLj
dl/I4cFEIIyHmbEc0SjNVenGazaO6TpKtCuqH2K8YnXSDG7PXYpPrCoT9JL5SrfgC9TOtDSCVGwB
3V7zNNnWQhIBFzLe9j6S8Gcvk32mczaVVoValhRUWVi7oKcGVAZUvRF0B04hjeKfUJOtARkytBIP
+FwMJd1q0qOrGxv1LZ7Kz7xWlMgQ/NLa/O7ZRf4Ox/GADpmgJGIZQoSZPcpSORnVtta4vJR1epwy
Y1VqA5EAtqQp8im9ET1xpFxOAExMKGiW2gTVryNFjpWNtkAVdUP4jzJi8BeBPeD1b9BJ4O9+lWNM
wkoHAoUE3nOiNXMAvZfAi+hOOFDDTTxkJ6USJLE0Dqw3hno1Bto+LVV3NIhvVspOTmp4qfOm2evU
Ruh/ozVRNvoJGz8UbDxgi7KAC1labnvs51ThqoeTLUftByNj69Bn073TJ+Oq66dXqg1tUdc/8f4g
0O3nrVDuHAIdWgx9d78SA8wbNN0razSye4KNFpXToudo6mhd9rG8kLiy9EdueHFnptcBsCEzhnZb
WTOgB8Nh+RbXLZbxGvhJ7GuMxGg/DH9CDO7CZ2msfW+xCebXN5syT29RM91NXdJdlcaQgpxqmxNs
emVdeZZ2Gn9MmPLo8biZBesx5FVQ4DS3cQxP+hySZdvyNW4QASg32Tt6EVxsS3HvAzBDy2isY7Lu
dEZFZ+4asBan9urgoNMmQLpcss51xO+EAuQ0urtiSAA3S6iC4BVGJzICNp1WLhGpfklyLBse4KAT
cx4/Y87TrDQj/+7FOQSrmacgapYv8SkdjORB6ocpGtLT14OmxdnJlj6dRSdWYclnoUHDQRHbsJVM
0hWZHuzQZ51cjVsN+SI+WNW4xZH0HSJ4ZbeRpfMjKiS7Wyjbd56O7Thmr4hqgE1EUwG/HuyXoM2B
zIPeicPgmttx9i1Lea9blu+QkTtIDTY6knnTabCvEp0jntCcm+O1ZkUI7pGCa/TchCvzzEFAsXtU
2P69qHo01UgiRwkNnEldprwDTHzQIrbYVghol31XtAC9QNmnRDWYMiFhEH+fObTj0i6Gq4OJeps0
2mbyzH5dUQZSxH0M+cTekjlmryDQmB7bA4cAOqThdrEujQkK8EiBUjMhsowe/XU0bQlu3waiiy+B
RgjPzArzp06jTPYY3LUWwy+nRd0zdD28SYZkOCWaEr+jcsTea/zq8vWgS3KlIhtqsxntrRILR2Gi
oseAQUs81ESKe3H9DYTngrCwnKw/pjhViOk+d/2L0hvzbkiVOIUoTxOTkavZhfSnfgvWWU5wLYC3
mhmtQJ7Xd0EHenLAZ0e4xcvQsgEhNcrNc7Ex0BOMwXREdwoZFWujCIkLY9OOZlRPf7q2VYE3LgGI
uMG48kdPrEQffytYbI546aHQiNMwcGEqStJYnmML7UapEYPB3LlHGs3NXZg+J9nUhdvUGNi8lT4p
lVTeQd/Bqva66YYVErTwZJ4ClcgHL5vesFMrYT2XJmUtGal6XvaAflR2ilsXrxHvj5kQJeNkCNkj
eUfYwLIWoDo9M6uWWFG1nT2Un5jq3mVFMm6lkwNQStIb7AgErgIXvAqnotxOfJoKYb+mmYfQJiNj
PEd+pmvy1NRIUfIAX3PifM+jiOlS651VNgUPMYvHmCwKyuI5pvIJsnJ/Qfwl4mIt7ODKJoSOLodi
7lIPGFz4WcPO8vd8yY2EYSF+9UICHGoyQlsFb3pDt7BIOxZqUc23qMDdiMHZtFNwh6dvHt+NjbZt
KuSB8FkX3MWIpnOw0armGExi4zMsXCi9C6GUMEMp2xqlswEvyBVbbZTQi9TAM7WYvmXjnjUgy2rK
A43N7qYubkHkTxsviqydniPi1cb8u+M+EkwrFjpJUEVqs6/JmW4wV/fivQ1u/QcuT7ptZkAe1lxa
fn/fxmxjDIB6Yw21qQRjdMMcTq/U7Jm2AFaJe46ZsA994TGKZx1Bj6yob/XxOoWpB/zjvmhyOqUh
PITI+baeZTLh7puOLShNr4PeD9Hy5BhkmMX6uDLS9ruTuIDwURH7KtKuld0TxGdz3QW+zezWddaF
VWLJcHpSF8vpnoQMGE+mjwqz6LSFshtKt8k7ZirCtcDIeyjjaBu11rs30tunXr7r+sLYgt8+IFYb
D3FuPCdGnG5o4EeCqHn4+i9LV+OhdUJMEpPeNcBBWZgaQ0O0FBKWr4cvNQbSBHAKqT6whA7RGNVm
PJtbZzcrHQcLn6igYA3pp1CH5W2Vgl6o2Av9r6r964uaoYJdpblPPHVWvjHv6MEbckafRnMXzv/3
9UcB4+iq8/pdPEvbIgvhUCpBTaUTSyquGQzik3ZD1UlQmEd+WtgcpvkBTSECkNjW6cMgbQ+z7ZAJ
N0zD+eGZ3KLx4M7qs1yLH2Wt2k3cOdOvP/I87GD/X0v9pYj+N1pq2/aQMf/n//3vt+G/go/iH6TU
y59p9ElKQYS695fEev/+f/7j13f9VUsN6ecvAItY3HmOZcIWlX9Dn9IS/sXS2TtIdMwW9koUvn9V
U1sCvqkreKt0fEOm0M0/1NTiL7ZpuhZnruuaEuru/4uaWvB6fgef6jwtaKiO6zA7My1hIfYuf1NT
t2SflJVSA6B201sbCNfKdrBOHePibVCG3VNhDfleWZG7qiKbaSHAOgaPUbmNfPXQ+UX2mOnpW5AV
pw4HDDat/BI54Qr7bGyL/JrpHshfi7hbmM9bOG7dHiQWk/jyqXfd4ZrH43D1WtfZ/PZG/BMBtT0T
W3+Tic8vDE0OTbu0dLTUzkx8/e2FWflYJl6ouksAgXzbezD4Wuttsmp7F7ZBfiqkDJkOqHib17BJ
FJXWqe4H41KG1kcbTiWD++5aOOVwJgsHNoNCd+FSLp3rpFzrfa3uZBRaS8/q56VWQFHm+ukZqcd7
l/QRenM4jVIZj5Jo7iUpisgP45KYahfWhKPnny1d9ZHtsiD5sl1redXvA2hUR3j08TFpG5SjspFb
ouKCNSgR/2iG/Z2vaS6xs535BNmAe7S0wmO4Zo1AsDbN0IMzhz7mFuvPIAC996+PqcNn9R+OqSMh
PSNNlfAB8Bn83TGNJBGh3thegmlsN50Ko43XQTgKWhk8doG+tMuJqzE530cz0ogGKeMfbdG/u1bQ
bCOvEkfSHjYp+ohr1ylz1xatgrnVIYCIt/Wci41mLrkZ6LC+6lIPJA2bXmratO1ADzikJZRdfqR6
WQcQsImchSGSR3r/CAAMyLqDuwsTIOY5QIhbwm/IUBFZcbEGI6RI9QkMwcOA5dZNrxDvVrrq2phg
BkkUsuiNR1NyLL3pjulF9jwiqGHQ30MfK8NzYhTXERWDLCMQ5ePUgtq0b0nkTugZ2+xZtJfKVtWJ
+GKWCjiT/njovIj09DGOfl2Wf11s/sln3PjHk1dajLz5lOO4cEzxJ2oxrV0A7jRtLrn9mgRTcXST
Gm9sBxuyDhUzJ18gsrZs5zx0bPaTOlw7fr6uRHhsK1CbIrcvqrXwDrf52gw1vEorjJD687/53Pzp
YyMNKQ0UrJ7gGsPD/LH67VS0WdRYMN7ziy605hAn9jl3Mnttk5mzUqPj/Ztf9+WM+P3Un3+fpwtd
Wi4OROn+6dQHDTJOVGrFhc2iEV41g6lqgoRSE6gLasO6jG2Chwxx+0PFCbXQIS2jkimOHjuwQFn6
Td6QYQbPralne5b6XM5oL9nWprTNzwUe8wWIHlLGfLxozZw2UqCP2pQC3D1bGuf8b47f/IT//gVx
rglbWKblOPPd5O8PINKCKCR6MKKpNX/g0Q2PMuTDP7hGzeUqqJYBM/q1lHa3biB1nkyuRMd6Ik4t
dqpbFAlUurMI1+CbzJGrYVMad18PieV9AL+RezPiFByNCby/PgXHYUL01hAKLuBEnTqDVwcbuCdv
nUWsX/WHyq2zJSZbg4IFB7c+r5SaWqbkHTOi9qdYfiMKN1ziiRwNH/pPrCSmUQRqq6xdBt7UcAko
kRSXvUu9mAzQZ1JKdU9fA4odKMVKBO+N+mwbPbxoNWAef56xkvFlnFyXLrockwlqbsoOrcjJ17Da
/PKvj7s9W2z+dNwxOyFWoXFkHmbN599vH1zdUdgQbR/0Kbo8fxDQvO3+nqiylz4k1SnsMMD1tcu4
JBzfSR+OP0yGRnQhpFonkpifhCFcqMX6Pum1btsKZNPgiAfmfHxt1ywHUxvfGftcrMTcD/DyfsQF
sv4M2vM1CcfxrkrBkJIhx5UIxO9P8oqYTJc3q3IR+9Xs/cdukktRjXcoQPvTlExqZVseu83ceOjF
DLYWFbSPye2WU6XnO83Wq01uDRaJYs5aI/8H/T4OYJLk00tgk/nj19+7ZCivKM3qZ0ve16IZvrmN
3Z51Y/2vD7DAX//nQ2xaJlcElLsegdG2pND5/RDjJCcdDtbmuc38aFkZqXHEKWsc9WYgii6IjG06
Oe7u6y++HgbX94kxmr+mJny02vzxPURZvJVTiff/bz/mty+xZWxUi68f/sdPQx7BrFuOLOu+fu7X
X/vwtzXmVPyKX185ORpKx8gl2MpBuvb1h1pfZ3tM8JvfvvHrL379yq8nCIbd33iW9fzrz4BF8gz+
+OUMAHkzfKn0fRMC+/hnr+mPr/7rzzXes8AdD7+ew9+e4m9Pdn7tv57T19f8+qWqzK6g2Y2ataDd
uvqxmL/s6wt8q3aZ2cz///U3Xw/j1+H/+k+LU5Zg0ZB7/BaUATvPJjgRl3yMDEF2KAv/Rp07g0tf
h/V/DTTQ37TAG9GmmOZzZ0+fuOKTzdg+jVr/2ZH5uFeJeaJ1/9QHksq6MXpsGfimA+g+di2vOO9A
NiqSmXo89cthAGahl0++khemXfNonyDrCVGEiChXC3s650pfo8wKtnDKj9zwESMZKeximn7kP+yE
ASfOPTkCxooyIfHFRQi43ONwT7AHXGRsZYQek/niKGQkUbScSJxcJBISicuSQvh1QabV8NDPXgbV
8TMiVxbIfT6ozqYlgDFzTZoLAshlA8bwG+7WixO9V3F36RIZnyNTQ8oFiYFE9DujE1cIm+M6iXuJ
Ex09Qea040oqbUteIzx+z4Ugaxa30FTckBxUNG73wyKiPKtn8AZiqwgxsW02ABOskAh6C31B4Xk8
K6RSmUNYkUY0ZJKUpyKpnHVDWtLCs4yXaZg0JjfMq+QlAKR3ZHGToYbBQ2B7JO1CJWvyWpzsKqj4
4+Ql8fVF2HRQMNLhPbbLB2ERx1k44hYH9ZngehcQOpFIgcUBbkrMTQ1Tpu6g5T7T1xLfHPKwQiee
TXVvkhFwneaI8ZgbAHaozKtpkaRTLkEnmyCiGTSFJpmecBUHzcm3IFaMYwHHmVEK1+2I7IGdVjnH
OnScA3fsY6I0wAFhGm1iVBJ2ggCwk7x78fAWVektk7l2Fi5XyQLWRUkESmBozJElBklMbvEyd8Ec
+e0pQ3ODOMzeDyEeG/TEUR20zJhsbu9hdSIbcssM0N8rKGRc1XOONIBtpoSxAEQXBqtJxVQ3GZfi
RD4ZSGQXExz9BaDNLB0YNAuWTnIqJAdfp/XvxL6WGvts8MHLSQyfsk8O6fBs2fG7U6gNfu9uDTvj
lgf42Ng7HuD7g2HpK0ZpvSIyons1ZXgCY5IS6XZruc8vuoQwwyp5wAjhxgzFI4s1otGTJ2ulO18z
jkQWPQ8Y1K89y8wyVFCdm+6urpx61dLpseF5CBHXImh2nHVQlxfNFmpNVAN+C1xMZxl4mw441sHz
jXUX549mV251AC+rpihrxl8IYtooRcs8kFHQWlxa4yl9nyzGjKIko29Aw1TqECBydK6V0V1UNqek
9fopwJZR1hoRMaNzsQWSXEeiB3JDNOiJi9cX2nOOAKLTgisXLCZhTfI8KhhsBEiMO8L/DqM/5tgr
9QO5AYTmSjR1OM3vcVUMnFrkafg/M0drV0hC+RzAnqVbh3g2oolxgvHSPco4Je0VQDwXRDyRZDtP
8yaxQVO/tof4f9g7j+XWlW3L/kv1cQMuYRrVofekRFGug5D23gfeJ+zXvwHoVJ33bryKiupXB0FS
JEWCQCJzrTnHvDQ16pAU0OAiEvVLOenwtVE7KTa4h56wZ4Kmit3I/BKJaf5gsrWJIvfRWfjAUGae
NLVO91IvPziGUDeCvtwZMCkWIkUdUxK4yQVafCgO+6/H1rdGC6MTehPSaoJlviA63LFICiJEQVuA
9rzrzFAXXLapj0HMXOpKiTUUGXxXE57OJ8xo+tpHlkPfIgF9P+3pUFiI5x3lVQmnyFPLf2ttc8tS
DDzpKNHtjFsRRmfMiUA7fWSsQ49tAmTfSh0GE7Ua42TCqmiMiI9LQGW1+lDfaqIZosrcNwhC+AGM
amtZ1KsL6PyYR113M07VOBmBv5LxZ9yig2dH1pYVQ3l5C8Ah9nTMF5VtTpxwfEtuIy+DuOX43vZU
8aBWF1SPu7EnqNF6kqPurI2BRaNM3WM1IHx1XTBfakIRPFGNrQnUxC5L5dheKXDrx7TAiiTFPQQ0
7jMeLoMKiScpihjtqvQOWpkZqKQQyrpoh4gj22riE7ryCUkjbo7MeBG6c7I9fuFRBnunBR8/eCjK
63C866Wd8+VAtei51m9a44sTrN0mTfiIGTgpxdY6Pt1yiy73OMbAL4rOxFQS+2j5iWxw1Ww10J5c
VBF3K7t4LWP1mU7e+JHB98IuDMPWjWg1GtZ7VfaXgKGzSCl7Q3vb2DZ88NykJZpisQiDBBgRuPKF
GSrbHhrHwlP6AQ+6k63xNO87dNxg5427hj6XAk7OCKArAWYi+dIo6DJKTcH+qZT2xpXuUXqF2FKY
uNlRf49ahBR5cFZb70+TxX80pODAKvudGMd0qWn9uwowi94a6KOQBu8iLGD0RH1zLtGAIF1GDuM3
MDpF9mZVuM9GDnLk+tCQK1ZNgSj3QXqqYesxwMCSMH+BEd0Ng6e960Jp1wj2u2Pru8oFFLW6nJ8x
b+a78Zj5V9UKerrxY7ueXza9XmPH/HLIj0FNNdIwh61Cfz2xt/jQopdQqn/N71F3wxkAX/NWcj3d
mKmqw2S0FVhoiJDH6T0y56mFovxtRXG4yoUWXHpizk5JY4DMdCvlo00BrkwfG6sMQiKu4U+60ueQ
5pN026QwKMkLUxf4C75gB1W/9VQ7WmEt3xUTjq6jk55J2aU7K2pAEJzapJ+I1DfzU9n1iPGwON+j
oB1YvXUQRLGyPJF07ix+3q0Fz1STe24rZMoDabiqmUOEY0CEg0ap5QFY711M/5eK87n17OB9oIW1
xmYXnLpGijNpv/RRTXf4HP1k3WlW+bu3UdAPuM3uTHmOPavm9YDcd9e2Gv5vPDqL+Wmq+WbQPvum
Q6IujTCrrgMBlgdRy3LTqVX4auvO6/xMMZqXKA30N/or/TrESHRMldq/ANVXQOfSilI+M5qoOeXv
32Sa0nC2jOiOVUHBPofz00Yp+WSWuobIie9iBpwyalZ/kygAun90gmtj5+7Bgkq4acEesYJ3XuYd
pCXljctV+UYKqkHrk4OpjMvqQhwmAnhVr77ynFyZ6V3RFxLJkufiuSA4fmflhEJnTVg+J0hZfna3
y2zXCRzvC3e7C2JVMS8IyOOjoiTKukS8+eq5wX1+N7/xn4EkUzagD7auUMIcU467S2WkUFGsxvyS
dF5+dqSjQMods/aZRnkNYC4odlon1Wcvx7Yyv1vXYlBrHIT4Pu8hamxOjTYUJ4RmJgjFfsAKkea/
OvNNGRP9q/UCdVW2lUoLKZcXnergzxMy5VgZZvIdhbJZKUrlnVpFCbCDqcjOByP7RYxCUpFnl1rE
eJhml58HlEznNteQcE3/gk4SBuFfqjVpThw5nj3Lrs9dYxF0Gg32twPreP4oVUN1Vdru2ZFViGS0
qVdp7nBNro3k5LW7+VlM+cSS5k1xyXvFOM1PUN3I+RqU5/nzWF4Nnn0I1Qu6GkncM87yDtDf16Qq
+vlAWECXOW6My1BoEdIm211lUjg4M6AlTx+FOkS1dJy0vDJ4imMwGdFwe8tPnGo/31q4dMhYdGrX
hOX0Ubp2scZb4n2QrvLztQGshkt2UHDzHZEe02lomhb3H4QO81T+yyj5eXSEAbfYN5wDMSv6ejCT
4CMbms38XTzDgVaQW7uQUFXWBuV4aMn3XnMwEUqE8mJ+H6nANShtK34SA1nRPtfcjWUp0Xvrw6Wf
fqOgp5QQRFX/VOuKf8BfCk8WbsUb0wNMCTwj9mVDzmHuPmFCMveYHnryy7Gskfb+moMZRYzff4UO
uhmhDiGptLn+LEoV9nCMjNNwVOoBlnd1Amb7akBJw55egLHtRF0SOxOt5Z1qsbDxAsDeWn2cX6iL
iFgI6hoHrufJ2lCDemM52WP+Y5HjxwyHwrp0wiGxpRDpz7tG8fjcdWrzElW1tRdlYq7J0Rq+yI3X
GQu/JBAk7HJBvncTFbMiBb7546uW7EAbpsY5873+qiVoc+eP2bb9pxQI9JvaMA5h7kTr+fEsKFhE
yu6jGHJmJ1Azd6gd9dfRNnfzRyQ/wl91/qDR7Q4N0ofhf82vpNdJGx/a8BOCbP3YDozVP39A7K8n
TfDu9JJeJfaTrepa8TvqbHga7EvoqcPKIQLlCPvEe5IDOQ+uxSJNcWr3VpDSuijrUrsVdWicRomK
Yv7ufRHsKfOMr3kmWJ9pPUh5MoE+ChTlWjOMN9ocDfZZgrH6otIPYWSm9wa85M+nAqODIjPvriok
vrOjTLao6Qeskd/Fvp092tEq9tKNWeP2TfwF4HD+tA2RHeuyDsU+wN9FVIFHjVgnd3X6Kqz3Myx2
Rc1Y7qElDACyz+9aac2jozB6t7UuOfQkSP38gIly1LnQfzp+2WwMI+OQ6XPrQVo6y1N+YEVTNOS0
HGLNlMo6H3YQyMxPPdqqevCrb7l0+1rcH1xTrwgI0t6l59gLmAO4iAiv21eR9QmECnChIcpzHvhM
TTKDjCwzt4kHxzLj2IQXlW3LVbV5dmlX7yMb6HJHZBwMSm2L5waentskS2Z+zjWS4/NAE/+cE2Cm
OoW7zVjBcon5toZYuemhOa6NDhd8WxNBCa5vWNF++bQdYjdrLST6qXPyR+64+xBy4yL1SnARrUNc
D2tAsLs2rgNW1b7ZgDWDNkOnv70riflJGWOHZUG8NnpAOpDetjtChfVNYHOO1qIA2AFeFG5MXB69
0i5+Nj7i+YVNPWn60bID0E1c4/PNXoAabKAUQ0AItk7opYd/Hv/3581Pnjdog7LDz93GDLZ+hp1q
euf5DebHx7bif8w3/3mQYdxd5rYwF405IYhrWLqHuAUrZ+J1bJWacoFTD2feKweXryTrNobmYeMZ
RdejLQNFYsN35GsYvCNog4RAWikucnrvEN6LQzlt4kZlrlsgCB4ylNAaff5DJ0N2rqqshDP5BdlF
mwTnuAQGoriaPCCXgQNl5sgAG5gsdB4j5JJXGxnuzxPaCbwZA/Q+pNNmvhUfVYpTO6PX78grsaDR
mZfqn1xR+ELBxO2dNwMW2VG4mOxQJ25IoYLGDAkoLNt35Df50Z5APUD2axvHnynKa2obJ9uv6u28
ezjLakRzXQTDB620BUd2EZXtY/5yVEeLA4JxZKqMHB1xydL8jiXvqrBS2WR2+NBa0Bt1LV/UKEDR
EvMCiHPsK1hd4zKS2inUcmUzPzb/NcOvv4BFtAqaIV7B2F4GdlUusgyHDyvxAtbd/MECoJ2rvGAV
lycTSZoIcJ8fbct07KUm5Whh1MotSL12nevtxSQIIm1YWtqusdYmxKHjQDwk87cmpJsLLwGNuIFJ
/Dt4MfYLqleg4abj4+fdBXJBHF/cTyF3L6MeyUtgyr3mRTtAJPFu1Jps7TNU0WJRExbLDS4kQckh
CtG3idFWllaL5KSV1VNjZs1WDWikRk3Sb/XaPlnKgDIkjG1vQReahgg6ts1Yda+hGW7sHB5P7rvu
gcWiKUV4CNSoAlagQlZse4qQLV5X4fT4rqbeXjGB7LRIH9ZaYFhQ0L1fXV3/jmwkgU5TIXsvjYvZ
ZsW2yq1rMqI91/vudaZvz5TtWinxaU/nZkXnjBI/gJyNDAhykjFJ21llvJKMbp29BJByY9+UvAxA
qiTMD6PC2Te89Fx3bbtMiKLfVCVwjoj4qnVkh/AeibjaejaYlsYiONrDo45Va9iCsnHXRqs1FyUc
oz2sv1cpmkl6ZiTHrDaL53Eo41UIw+iMXNrYRIaS4OkMxJImpL3BmW0cWoT8B6+XC3fomVv0Hktj
Lg1Ld1CMLWqC7Oo0YpOVFIiJRsnVAuGbOrz4Zufd4tyN1kaSQM6G8fqswMicYCBobhpqtnEQhQdt
oMMRCfSVSadpcLBg2QemewYYbm8IgmQ4mWn6TZknW6zyx4gl8mHeQMe9uTU58kOun5xpAAsihrt/
NjFKTew9YElUW/nlx+FDdR0ki0bpHZS8ebUCBTNwT7OBgohNwNUBVwtGA9Ah+Lc3Q6/fAgOUpl0L
luBOBH2Fhc66ZObPed3iRg1idpCuVdvOQD8+sTr/2eQWGoERaP1CSfNvL0iJtM7xTgSW8/P5u5oz
oG8TFIYFQrKZTj5vKDnBTrRfXVyL+5oT9CBldA2zRGwSvZeH+aHsf99qgZDSVRCv4wSMTxAHJtjB
OQ3DaaMPhrJW7f7dj+mJU625QafC5Gz6xSppPLiZSOcxZMzHOeyYCYqmTGywieMu/VHdd9irjyLt
T3GUu5gKIOjNDHQyKhrIY2zmuyoalgSFAhdYlfK5NQGPuumbzJvUUMTKy7Kp2AX2aJw2hd/i2CeN
dqGpgYFwPb/krfoyM+cDj48wbxwyEn5uQRD6+xZvZhByTy8/jiQg0AllOd8yiYj+T3fnP6hA1tLI
Knb/INUhdnFdITLBN/VoE0wkvXmTloxjHjO2n7vzY05MQCnaWhOZ44TiM8gDCiA5LwLHxjRsWI/G
x8VH1NywcKaXxhPwMzDGfClSsCX4L4hEI+QDcFtx1FwHwEef4nmj60Zp1GFs1wGHFvhfCp002vzV
bEcKNab6hEjbYC4BzqbTMArLgfHCn3qwigQLnFRTo5Qr4ryxmK1DLwrTn13STBhVbQ66mo6K+ZvE
FeeQx3JdVXYZfiUgffGX2ojoKFALloPW7eCOZYd52Go4O2EEkZbkqN6N8lqD88hI1n7Q9Qdhmv0B
oQuuORLqF/kED41wZOxjAiZYIjFopzanmp6p6d/33YlA4jXJHjUrlgCqakCgDBixboFXF4TQZDqg
VsDB3uiEEiW2n21wMb/MiS3DdK7Mw8F8698e8y0ORFeWdFw5LhpJ7BRZ5hCs0SSuk6CaiCVxdqJX
CF6OxB/gJGR+jqrfb+1UlXR3WYzpORCILC43ah85197SNw3L3C96MKQRushF3ViSwe7B4+5KBSwQ
aTtNTzzpWPk8bvg7yx7jk4GKhzSOehMShPPppvo5pMX6koqqPzpo51fxPRBu/5zVo3vJ0BjgiGnh
sNEQNAJ6SyYtcbghWr0dQn+4dmVBsKckfdRzLEKQkUFhCdQ72jSYJ6jF6gIAfE5WvRXc0i5OgW3r
KeASjGvrIpqWK7a4oHjpnnQqvGtSylQQXh04CiFYRhFPBS532Oijkt3SKqNKbBk3zyHRTHdp3VQh
iniKL++EeQJFLqfROsLhTBBSfMKahG1rMPKNpSfxyQYvSHeGIJc29d2XpI1+V6pXnOd71OKZAkLQ
QEnqxsvaFeZbj0FzUGztszEVa22YGuoLPQ3fSPVbz4/bRUsXgWDBvWXE1WuVVts8j8Sz2+UfFTR4
8kwNakqltHb6gABGH8VLAQ3+zaTPvy/ImSGEI6vfcm0Uq97PaApNf3VQL2OuwXxYkJNRA11A/K0F
CkYLrs02oWRvxG8Bf3Pd7xJWJ7OncY3tIp48gQGlHEiPHWnJlxg7w3XeGDXST0S/7j4qieZjsqh9
SaVCPJCKF/KpGhYGTDxqkQw3kFnUf93XEkHpqzEQJo4p50wjpVkreaDf/OnWAFVzHYR9vqtMfOK0
6uNDHZvDU5BUyhIc1rAcxoEsw6GV7GpcKCTWDos2UpG5FaN3sEdGoATHy14NhL6rs+RPWmHobrKi
eHXbmN5GWFNsM0dlRbC4v3Ycs90wb5DwzeLwu/Xvbtzu/MJQX3snPNQ9ttzI8ssXlNTJPutbtLTi
Tj1ZhUKiCD4ETPdIg05BQPaI7K+X5yBJIBFCW16Qrc2l0JX1U1WSudLjRf1jxPDiaiK/mEHWzb6r
yuK1osEB4TC5mmOE6IvsHEgYpA/p+ksYGPLFChkaogwzrYz2Vd/U14xvYdlDupOGzE7zmR5ajnEM
ycoaaHUNvIZfjUtd9pxkSXM29IrwUe7hM+Wt1ZLOjU3OmQFhyPDG4LpT+sR8w+6/rcY8/e5c6mxe
G/nYmvqPsi8GqAI0l8Hm2nvbEfqTmDbwok4ioo6eqiZUPFZ9Sx3Y4sKNEnlD+7RskFZgvq86WELW
AFRnLPZtQLfNM+KVlyMWyQYa2rrH3NNrM+Ndp1i5CHp1aRda8O3gz1CgI9DXbj7QXVkAlWqwn66f
v7guZQtyuz79qZRAqbI40SBqgKKQKV3EQqX1MQy/nMRaO2MwfrhuiyIqCdKV7xhQOdQc1505yDs0
QUbQcgx/4cNfOYVt/VGiso83EEXmqCHnkBeSDFsKXAgg/U3qBOkB7vkcEci6qH/TXN94lELFfONz
IdADVX8Ir/z77vxXOpw0SQVTxRx7xh3L3qnoB/PdNOpxWxJXuYHRb76XVf/eVljkIr37qxbqeGkD
yBmtm1wHxABHvCtMcE0qwIL43itVy3RpVT690nCgbkJ5V7V+uSnteyQewYvp0QigSzLsfNWxn0dN
ndowebnA2d29ZFv8pOZfKggsCH3JW5YNLSidPr0m/kQXd6FEpRVejZRY5vcurDZoE6OHGfYfapxH
0E5i50uvnafS0cs/HZCeLvbA5oz5juIPYd71RKErBMNynlAihcOGDdOHrord+wXQjY9riQx4BcQY
aaYK8dgYWq5hon0koT/uzbGWZ3O0VxohCq8FI3samY/Wsrp7yjmfGaa8hgqWB7LxtD0HEYR74eR4
H+N01dSNPAymJY5FK+95mbzgmZDryBg/Ez3H5ALn0oI7Gz5D49FWFQjvnT8W7RuveY8r2Emy5MSo
aBUvS+jvy0FS3xrcgiWaaTpvY96T9lovY0z27wYd/hRhf6lqV6Ost4kfqJvS9BoKphhlKSXtKDOF
S2F15i5rM3W6vuZrRcZ4+nTqMoaX1Fe6wiwY8a0vzdiT6zzT7Xs1AFipc6xrSQwPyRRkUciYRHqq
R+PWSMQ5itXgI/DJrIRW+h1oWDXbCCKC4Q/KamBE/lX3v82+owfbGcUZd2wOY6LVLnXUvPaK7i0A
2olT1NSfVaVV9wRD+8Gb6puWU4kv5wPfjb8F0Ku9dJqeHF2ZamTZQbNlNE2Y+WbGYxztrwhEtRLk
cmFBz16Pnu7vSUvJwAFF0bYeKcw5wHr2eJHIga3wePjSSba0RbiIqf5wQipDXQHz15buV342G1B9
wlTOQCCDNf3i4rmojGpDMou+/PsXlHqyIr7gxUph5zhuXH/VYbRBjUxyD5DWvZNPe0U17hBUjL0a
J8URz4i51zRSzVvRPwdjr1w0SRLPdE9YLQkhSVSf60wiARnhqNDcWgk7NH7HY/67Epq5Sfn1134d
knFb218dkthxETMVg38XlBcpaWSU5fioe4QXmhOaH277yIJoOFnAAxFU1srZUM30OAz1JCVSj0QT
/K9NlW9tpflDJ+PWRR7CQgV3fhuO/REfzSkBWvQIMdscFeRzeKgj90qWnXvlrBwQf2tEzqDZ+oO9
C09MYI472lTRnYTnqqqdQzUBZH1VudeGz1FY11RILX285Fl8xkXXcL3DSD96MtiAlh43egCPYF5M
12kjj16i77uudu+JpiCACcNbQwIJli+3vjBE2blzSTqWVcX0DdE/KeRvMMEqu3XUPVIipc4UL5xL
Le2UdUUrXqsg2KbuMOJj0Yo9TeMCWiohvGHGa6UoXXIH00esdm8hi6pXvfcNyEHEUHhl8TF1Hr9C
sKMrgmOs9VBjqRYpDQS+DbTNomsXkvrCQekGuRVF9osK7xUek/6Ew9nZxJTHVkVNpGHjkEYuICMv
pFUfMrOsX+F0HUI/DZbpdJoQmQQ0Iiz7p3gQ32qRWtMSvntCYp8eTab2ZEFPsYh5vZUtBd7Y8B4+
KUlctJPglzfNKJV+h6FIX+ehucydJ8MoIT62bfvtcGEh3yZYUy9KkAdp4WQRpX/vAe3Ux+aheNEa
w33IpY4kSzHigwVOD4cng5snauNu2nRZLJC6V10Jk1WHCHvnu723Seh90MKvv9KOJlBTpX9Ro6Gr
ptkpwZbMlnQrfC6dIlwlZpTvhNN2ywyWCd4nAfQnBXtKNIi9V9Qk39WORu511yAXg340Tu5dYwc3
aFXYefJGuD0lFur1mYRURDHX/Va5WKiBn94LO7pWdq2uzNZyr6FuyG1hB+1xyEOf4CXf2mrECl/1
hl6W1X6keenTvE2TY29r29qVXMNC/134dscH9lB9Y6bTivo8oUsTFccJsIE2u+kkQcJWi+k/aSyF
+Np8KOPhS9gSkN6eiiiG5Y0Ad00BS3smp0N95gSuIAVKOqOmycLPrE6zVBwwebVWwjpeWWNLSKIb
eKSBqO2W6weyqEavQO3I6liEXOXzatj7CPC3zDg8rGlg7tQMSh4AwupYOX11ZK18Af22H/BNPvoq
OZdxY+yZm2SrzNQp80WBcWSaxdWt/ggkaTt9I8qjGivnJNDjixMnkiucGZypfAHWSFRIBUmyNVNZ
H0Fo7DU1VW6eD9CnbzmVSSqz3qqYHmXWvEp/EyZhepGOkVxAf2h74oRu80NprCGnTfWlXiTDpdDj
Fz9U7ZcWWCzyUvetDSvrCXBv22+JBSqeoxAGr2KV+rbtc6yO5sTwoU5iazsZ5JwwBRBUo8q2vsJU
JxVbnXbFp2HR8Y1y8SmspnyOpgymGjTe9xQmbuS+f48HGxiCxEbjh59R0xJ8KCwQHr7s3yS6pCiD
Q5UCUtgrilnfY8EBS/tj57h+bREz5FP6S40StUt2Z29QlKqglKOEWfjDt8TynqrGZ+9rAAd6z9sR
9NgfQEWchpZ5Tl45NvS1vPqSyIpbNc6Q2Nk6gYc9bsWWPRENTf+G8WRcROgpaDDZ/RtzFoSUBJs3
5kSj8OMn1hDZqssquAi5Ve0EBYypduCf503YE40oMg38ji+XlSntl3kTU9odcFN30HHeOkKNNmXk
R0DxA7wtBJ2rnaIevKBJzrXH5djMUMCAGoh3oAbUQ+x1+irF6/pJpeomDe9dEQrBKXXL1IqhIGpY
vjqgRy7Zpz4w3EWNT16b5eSbekpfogamINtqcdmmLtQ82j4vcqRR47ISaEsQJqqpXTyctlTsTdbq
YNEUN86PKtXayEe6DVPkjxsrwyFsMCI6RVUcdSVmoeKraMg7SK4S0V4mNe081Cwz88QumZso0RaR
reCYZN3Wd8lTY5nyHLXuybeAEehNjsgspeEMAIa6G9psWZTpQaXw7dacaHFrHEyyLM+2Q4+KIqb7
7NQSGrr/WRu2+9qAEjskTEfQiObe69iLbPPKIj/D3ZJkVwQm69bWu1Ow1bDRX/2gjB8iCFetpnbn
Up+6gWmtXSvftPdkur9rVaBd0bEcMdyVe6OxMpKstQNAzoiGTOmvw6EvKFZE4XePPzPado7ugTce
uhcdnq5exb/pY8mzIvz6iRVwSn/P9Va9p1BeSPMcs09Unu2OxqtadwbarIYWhCptQhvtcBfn+PEZ
PJKdlG7FBIONVccUx8Cr4QzCch8T1sccCFU0wNFFmgvaw50qXgIpgXmZ6ZerA1spdQQplX8vQM4u
QXDlH1nh08CxxR+DNruVuQUTUcEsXrhbeGXRIRW5dqZMBXqcVssZOR45NpVyklm5zihLfdgtwlqA
G+Ex9703SU14RwePch/Ld2rOt7DCxlQa6Ysn9ebJUJyFSDO69MxDU7VSvxrFQW+n0DNuNBVxG13T
vXBsSkZlarxCjCR0Z1Ao/8c0r3ULuQABe8m9S4m6yJ36dzgmD7tAptM24cjyFYIZTW1zQ10PXo0H
mb517qldnIM4XVO0Eoc+n2LeqmEXCka6BUUPZm+qD5afqs61b8lEr2X9ZtW5CeOTh4KgdtYYeYud
KACBgop7TkB9r7mswrsoOqqayCxPgy5+mZS0lnmjvKUAeQmnKLsbhtj+ponC37hYAOncNIiI6CZH
wkH3D3H2lRXfBasSsSFhE+/ox9gLifByR/fdoPLhW6dIL682EgjpkEDdYdd6ltQzcDRCM8cXO9ak
kGNNizaGYthEVYdHBM7FM0kSATlR+UpXTIg2bkJTZKA4mVFU3TlTajveRn2FCfqhjwkn35jeSpwp
axNqEIIX7WGBUdv5PmFknZajZSDVlK4YYsQq9NaAtfwz9Me/N8SxuwcyN9OUcar4SlPFOs4bhfxs
gNpFS8nFBawuCajQ8vKO2F97sht4mWpIhlbhJ1YK+yUsEUBA8oEdbQKaoXdQyado2oCCKBUTBZJd
WitJV3WlacegU+MPLUPaOAwaMN9h1A6S2QqlbiNCxanA/rBgMhppBFDWJNADXqdYVoCErmFlJEvc
fnLXKpQNh07ptjXcrnVFJRUDT+YcsinjRCPqobFsh9C0wTm6fhCt6mgs14qVT3EzdX6aUJj3Onox
p3HX10Jn26Zd9YI0hIV8LfWlIuvfqYXMxBxgTxZdXxxEgljDcup0h0r94BaTCib7qr3UPw/EHCIG
HZprF3JieurDaBt5BgdK+EKpK3tF85/JobEvfd5YL4PkfA8xiv2sq9tgGJd0pKlRo4GT1adbtuNH
b7EGFeDSNvNdBCInKx/RiFMiWKh5Fhz0XjOvhTGUyEtHchxE8W7U0rh13e+u05rbCNAQEgxqoIYS
7Jm15CbWgCMy50xYnbpkPKAuEWbgvUVm327iTlX3etjcONHo5Otqi38evahVefZWmw7VIIejjSfi
0LUlGbcQdGC4E8bbz5v+QtWnPEhaq/kiQM6zQ297sGJdvZB3L1ckC76mxMIvERobHxYRpOloWE+l
hXEgz/d5bliQ/Hx0xU3UP3d2eWJ24O5IwUZum8fRg3YgOTeTnNwxqoOomFs7pKY/Q1FGqU1NLzaC
AyiEoCIWzfYitJBG0WyzgcwkyEG/w9JnyRPWlyTqzAXHRbvXKKgcbFLsDJKkntFNR0tw6uZuvovY
q13ZWHNvxImceijep7wlQwW6gHUEHHdGzZyvqZRaS/Kl1XOutuo5gdNGKDiXRM3w63vffKQKvG7d
rus7Ed5bxdc/yIZQH6HFrvCV7O9b82NK61RQCoytLRXkk5iu7kbinimjtB/jQImLABOETVo1JS8S
v+7nDBkaGiTMqJDrbH/4pDB6N7qqv4dlDbUsiTEAWAiWmy6trqLW4YvBdwaW34qH6SDWBNsv3/lK
NMbCKP9qpPMAtv8UcqpvAzFSX1TlDYgVsDwHC9RKwodciqB3vieXrB7ZKLQDP9knKponNUO8QzXO
ezFrtNN6YB3sIOkvhorZLAjryTmQJ3tMttVBVzXvEG8AqXanKGkzEImN9yVFhDa+sN7bSNjw563f
YJf8tQap4gwA3lyXpM88U0IuluqYxR8IF998mpPHbOQtOlbje0siT8hdxX9i/ERuDyUaAWooqFHS
KkhASdznDfwr7Dejax/0Li1Xow24uyvs8DRvwoYGRxkYX3MFN0BnqcHgXxUNSGaGSEjoN8notQOa
R34I9Vf66a2z9izazIairHM6bcirNVyQYRmhZtfSLUos3FZeSlO3BflZItxhgWdS2Ja23KqRQv3J
VMTWove1E5R9l3FFG68MXJZAdCZ3zjceNPdJUuAiLcmBAJjb9ZohjUBrQUEZGIeYysMlSMLF7Iz7
/+l1/xfigiEMCxfz/xm58IrzJvw34MLfL/qbuGCLf+kULg1LF6bj6I5GsFr3p5b/83+QWf0vCxsn
Rk6aWQ4Jcv8QFwz3X6YQ9G7+2/w63g2to81lTAep+/+UX6fP/+U/20pNxkkbPh7vycdQ6YP/V8+j
01p5TnYxK8OxfLJcjlIzztAmnsgnqxfSp2jiNtkWDwPmR/vImR6brba1UgEuN536okPU0UdnArbX
bXrkoF2Ql0AhQPaTF1W8o5uDYJ7ueFooj4nZNbTKAwFNtRCoZly0SomRkKABwiWxuPJo/TPRL+jz
nUOp1neQUMi0WkJMU5Jd8nOiWdiXgkv8F6rzt8Lr3z27UMm5Ah5MEe2zq2/hayVq0FbdcQzButh6
8RnV/jf9UKLdAhfujvUc6tbJqSknOxbJGMp++IsxakVrziNZaAo6t2m17UBeLMNYtw+d6hP+pJNm
4k2s/SnTknmnsXNIYI4FqOyFiQJ2oZnOfjTxn1nwGBasswfglly7s+wvVreCyrN1LVH24crRuhVy
9q+op//UxtFzpb4m7m9DuC9GyBUgdMFOGy7sL0QVcywlP99z6MH49CfdRzhtUthgCqg+VZBBX+Hd
WQNdQy9O726ZB9jrdDUDnagTWA2s3TNXPXp0eGYrCFbmewTSbzMCuJEjydBxyOfXDcNaVxz2Dy8o
33OxaswkOw52/VeP/Pj0H0Sd13LjSrZEvwgRKHi8kgA9RYmyrReE1AbeFICC+/pZ0LkR96VjzvRM
nxYJlMmdubJJnXMh+bFLBULGgH9v11b6aChCcnZU1efBZhQvkiHeVX58wLmaohb0f9D41D6ZqIpN
0sh/gyIu3lhBjw0UNUPqwBa5JxzmEQktX3AfWLkjDl72hMhFLs0fd9JLrBujz+jopQUcxpUyk/uP
P2VxhEXoGTAXJK7qtYG2dfJjPNROQvSGFfY8pJMhttIH1k9InbGcxv+PuzSQGyuZ6R2ImfFGXGCj
1a9QUitlp1Wyc1bPTcpme5wwR7t8/V6hx+A64/2cFX/t0Qe/i1czrv8sHmo+dqAdF40x1KnD2ACX
yuBDnjoASFS07CuvurQ/tbiioq0p8WhxBqvGjSAo+bE2yEH3Wghzl8cDXPkS0oOJ/R0mUn2c5uTM
mKOjxbugfNFBqlsg1dVi/p4mA91l9XT4auBSTgObu75q9mSNAbxaEJuUf5x+fmnLSQULFt+NUVXN
SYtnRjlSkEYR2A379RdLMUYaM/vg/1gui19p6/+yuLdGra1R70gdQf879yizxvLJaADtvbM8HCzt
1G2qVl8gXhX//r9JFcvhheUl5YOu/xRu+d6uIeQIo4biGDnJlYlfA9MbIxvlAm/Czy+RVhyBWox7
e+2y7WAcn/JVo6H3o4zqwNWwumYJrIR88KaDj4PGXD8YrZQcnNpXvDYHfOgFahFmxmxlEf2U43Fe
r0OUn2KDoNkR5WTaq5x8v1AsRfc3gK0cM4K0tT3V0tRKZY+ubLGN4ineYulkLYzxdtKVdjIsoM89
hW+YOXZ9rPdHaGS3JAOO2RiWARcE2vQ8lnpYjDRIdVp9IE/bbp3OksAusR1lHGR37aDfpGSKmmKp
2LqKwNeKUYpS4mE4WXYDTffbiiAj4PVhH0kA2smYfMH6VbuO/5FwV0JUmc+clOV2+fPTyWvkqGb4
faCb3vOx77eMP00gOdtKLt0Jhs9Dg0K7R7jDd5LRtF3gsJzc+SDWB0VquBLKqENRVmuZQRsz5aAs
Xau+xtLE8T6LxxgYO64w5sDwH7/RBGk5qF26nxTszUHIJ1uw0mgu35LE4nhyzRy0qJHN98LzLo5a
ksAutWXfH+uYBLKF4PHgrcnfwl3OgpsWD+8OOdY9LU380iZTtacUlUH0OLqsCF6QjbM4yZWNn+C2
Nez8jzEzoHScGO1uxdj2XZFy/ddBhOfHn41oai1qWrIGjmU1gqjLnyvmn5QV5E9Iiu3DhL50b31/
HzMCfwPEybolu18//xQnNL5DvaAepn8fK0NcDdFZD4udtlvYcvG+Frk4KBXHAPdo7AH0mgSxj//X
yIV1EdL42w9cT2iBfMq9y2hZ6XZY3TtraID4H0zv0qQvYWy7IJK++c5Hixo49+cZ8NGlAlExGXl/
VUlqAtIzFPaMhtg1pZtIQZGIydSOGTcKygW82Wj2XjbQ2ZBDHXSnKEa6pgVBL7To0JmlQ7E7syUe
fHryCEtSQwSuOU6+rWixz7UkYD631CYnk3oEPuex5MuUx26eN5iEims9xd9NlHlba8rHA5iJo73O
OQ1fIwSdpJeW9t292441Xt78vVt5LpSS2zsS1Oal7jMI5wtyPXaONNBqjZKHgqrpLu6xHXfZmzOT
lM2APdK5xxWSPZ0IYFJ4J18m7w6KFFBAtLiGvqMwb0bnMM2ewcWTNoZp8PtnKsi4JXe3qGpuic/d
Urm6s2dwQItigqc7EnjryuJPZbKL9D7fKaUP5zG11FGU/ks6Cv0wOoZgnQDBwuXPPhTaQD9eFRdX
nT8L6Zjf4COsQpcbJovSmGDkBdBmPGaLGp4rs3L2dRfflYYXMc1oQsYjUl2bln9K9exeIJrsqIJ8
iWMTodx8i/o8+uxsY9ymQ95Ab94OQ8ZV11wAj1jDyZsQvMWEcdxzabps532B3EzJHG0aJm7kfWZ5
DHPKQu2nWVIj3GbnfrC0lHXI4TptdkfX1R4zzKZP1uiZiFayPXdn34yzrRroU5xcszvUM98qaF+O
cYK7t9e/1J4qw6HMFY9V8aUp/25q8MXBBmyVPchL7LnzpWoutPZCC7Yj46Tc6er2gxMkLU7gOrZu
Cz7zXZrf1GQyCLeGOGwH/keLw7msicZfavHiR5De+8qgagvGwxalM6iASnH/BUCXOBdOp/2d1qBl
5wjtAxp3STivKl/L2LoWDKzppWov0YgBiF1oOevtc7LgQkqMsXiw1szZXApsjJ31bOs4BtOy1W6J
PidXjUTGxvucqzh+5BCh05gWwXYnYsAcfN40eQzwV3PV62ClJQaZjMY4KvlewbpSnTNRAr8seIMt
3raZgflrCdNAiRYuMF9PTXdr0rpXsUq8DIH5OgyXdsjCzH5a6J77FR7DFA4CgV4b76mxx+ziMLNf
qi3eH/sCFvdMwQybLw1flwxUbwRI/dR0Bp0Pib/s1JKz7zPBhqOd0MRlkdYZaac/RJPPjF6HEGL3
uF14vra+b89hQnCp5TJyIwdShX7b2PQ2YgPozLHaj3VaHwur9J6mob352fw0LH77siTGFErXVNfc
JdcFHJhk/LnJZtqxmsx9bU3jk6UPt1rav6ZTv8PMQEQg4YnjFFaGy4SvukzS4uLK8neW1drW1BoM
jpmyP3Jaw+JPSNsDJP4BXxl8HUa5jDAEO+RtVubdn307ZMF3sZ91DIJt6tnstOn3nJvbPdBXEv4Q
H2iKsJm9WX17EOigwZKbjMu6WTzXwHiCvOqip6nu3/sOiUqP3eZVNxj8llA2/2BY4NVrUD8W19mU
OfVUbvtaZYgt5YQNlp2z+dVlTbWpEAKI2RWArF3HCICwfrtMnilqNgdMxRVe806+VjkTFjxR2Yju
QtdDOrPQWzWeqGgGEI4hHlHGc1x2j4aRes9FJ3PUGw1b+hFkHS4G9OtDvuh7h9WOZao1UBa75Zqq
v4QsScKPLocn3OBmn3MgHhCe18+V0KS/q0oOyVH7Tla5vSCqcZVT5G4HjXIEu0RP1qB7GFkCuILW
jYDeuYILHsUDhCfOaeHYT/NMrtP0WtxqHf4Pv8T64RL2xi//xZ8SnSsJ1MN1a/tr8GPjZiZDF6bU
Zuy59+EmmUhEcTeUS3yPVyMA6gz9g2XS8UPoHY4OPvcstsKmd2fKJcAlaRUVav6C4UtvqOkpcAvv
7aL/N5l18pznk7U13fEdJ8wYlKQAjnpkBhav/3FZzCv6eL8rJRO0zvY3tM1Fj0MRPREUsHlztH9V
Y2ZHRzuqpj7GmfIpw8lJI/T1suNBG7ZpT6NtGeP28VDNfywRhjYTtmNAwmJ/czPqlzIPR1FFk9SZ
ZgOaTPlEU93Rrpy+bnGOQstQlg4uDxw2Xv0T47D0CK3pOwGlsOsyB7SKTzJGxUD00gG7nabK+joV
jG1V/wI2Ij9w/PXCiSQIt+D40kjCW71h1PzJNI+0sX/oFv5kV5r/7MhVewmXIvBxX95YbjhvNKK7
txnezTmh/qDE6sd4sOo3fZRFp8p0m8DFnb3VOGEEThQ/TKWnHqJfSBAjnpiuJa3m0ISDyLRCb5kH
zu5T2jHdmKbKxdZGWbnrwESx8E9fjOK6rAY5diYj7FSdHKPE/ZhNXCJgt16rSL9p+DWrkhR9shC0
K2W+xzO5SYBD0w+a8bPZ0xDUI+MpvGb4Wlti7pUkShQPvOojWz5j1ou/wBRU+cKHjLlXy3L1BI2X
g6vAe0KW1Wz6v4uy5Hkwcv72lfPVMgTZjtYgqcfrdfh/pENGb/SPAsRKnFFOSaBTPaHd/hKJMW8p
7IFwLEx4WrVFP2sWj+EwD8mhLCAG5Jl5mCPivV6z0gXgi2zkXD7SMOGFTV1DTCZvemoW73c/+/XZ
njW1pUaT4D+dKb3MKYuIxptV9eHoLv6TX2Tgier8RSvvtqmSZ4dg+RUX76OuUYUMbP+uteQY/puY
Q3+/TuVwKTMOeonlXuoEY0ZiE4SvBkpAZLqfe8tizPJHr/v5bJCw3biZ5Lukcx6Ayqg68DoDv4XF
K1ROER9LrUiPngElTBrxuYupLJo7E9HWI+HkUkA3Lc1nX9LinInHqnWTX0i9qDhyNyXGQzdEE59T
Wz0YULIpRkCA9plpEiZlxwUn7rBiltOhn3XsvbF6YsbN0ztm+iH2UiJmTseYCM9B0yp3g6fiDK++
P2epGYhacED0upeZfAcQR3INTuF3ARhjI8Rtl4ZVXja73iwofIYOjFqMM5vfK0U1nxw1BphY1DHp
aE/gFngUlvMaJySv8rnWNo5RlQTKNOPkvBYaGCc8WpUsAGb5Jh0ZneswQ0jenLbgWFPwPhl83kBe
ILt940Kanmj+K7fLMPwR0/CSkGnegw48mHjKMENbf6Xu/8WzbexLUf626U+FidDv6DpzsL+oaiNB
o2xk6xhvpnVMhO+/YmD/go7hHRafQqdJMHf0FJKKI68EK8C6lx2wcwGBfOhU85WI7plP4sPqyvFI
lT1HweSpgoLRsf0gJRQfCcxHo5rfsZfYR945qhalVd5L0zvSJ0r00M0u0FXeBNpHKCyf7SChOJhX
HFIAmjGOQtpue897qumh7XzjGNtd/5tfgqXJKXFu3OckMwMyNDttTDj/ui1P/DB2wLaTYOK4dEvT
Dkr/AEc6RnYiPQi3n090HpENI6f95bjo80mO7J1Qoha72XKnpucZ+hEUE8ine/Uxd9nA9Z2a0FY0
Af9dFiK0dVRcNjtdI0hJv1aMZQd0fMPq1qdLqOX1ITGGflsagihCuczEdUYv4GsCDOAg+A3iSy5l
HT4aeEIgOLPeTBQ4aBiEDmrRt3zl84MaPeuRpd9+LEpn2ICFmgNHUX/a1d7Z0V1F8tvjRGZPgYQZ
8stgisSFqvgs5zi08MRu4DIk19I3KR5yqTBeucxEAzGwti1KTLf6wYWO/uLxYwVOEv0hLoarqHXK
rdXOKKlamR2HrH+qPJD6nWbiBPC0Mpjobwl0vyPOkfFD4yHTg8meoUlXImF8Xv6W0FNAUK620b90
j/S0WchAWLCyJQLroxWrcT8Wbc/ub47sRal9hcXbhO6s3JBp9VexkG/F0IUHfdrPbOjKZlUG68yr
A7PUyKNLWlDvlHkVSTdVvkA24f130p0C/5MSMN7InmBvqsLBt19quURBSSk9n79M7sP6S+JUn5gr
yidSB8eFWx9zzl0xTlQZYpreKIwc8NddzI1ZPmwnGc2bOMm3wxxfDUoMcTZTD+sQeGDmgZE45yV1
/HLbtqR5a40nrG7Sb5zgW0pK3kl/PEg1f02p8dnGag+4Fe5PW93acbWUL6xY8EWJqZivfMqkBUaF
qbf5NUXWIZ/Qust0rS0xOecQjmdsebUXUlJm/m3DVio5K9r+Y+MlL44xmpu17hMXk9P9s1IyAKBp
Qk8nNVVw4tlUs7Emdra5Ye/VqM7I1i2WZpfKV50S1zR5jSG+VAW9hIVFf2mqveL18Tl20mZs5A30
8iThlcNXP5tkRW3cZRya6pRi3YK6qB1IV8LPdCuMBgfruKnfbbQRWKyYJcu9pNVDVcnqR1rJlLB8
jPQxSTgpNMUHz+QnhJkJ/dGMd5CNfpH7hPcmojc/yn7nU071BtOsZqbjhj1+O7IBGBbUWopKGa2S
TTEycbdnhFM0CgzF0xjkhYtixMdqJcgr2t0VtGzao+nidije4tmpN3BxGxQCSwVtSUPQ3Pg/db4W
/TZGUXSroM0ls9aWwOKDDIQ2hYqY6rZGs6xbvj7qCX8p9MENVEs6nQbigCM/bF8u/wrNuwDCYyjH
PimmkLiB44UCO9oG+rs6uF1BTiGX38qbvgGZIBsjH9CGx9lp1g9tqdlnIcIOxyNFYXSiStRkEut/
nTT6XJxuCXAL8D0VDyrz3DAGHMOZwSCmR0v5QVj22bCgjdELelExiEB7rvRtKdxHJtnIf63FvKEf
D95oJ8FSd58UVD65Ih82+sLtXfjdeWYcItz8YPknOULfqpFZuEynWz/DUd2l57ZpfserDXNJQfbL
oboKuh2pUtGLUgtQU/ydnqmzPabfZF27Yw5DC/3uMdNncRQSXAElbIGlWKPIt1wcfst0RBzQHMCQ
u+n+RtIebwuELXyfv0fDGj44qWQsMdXVTt39GI1vLmfuraXFMMogrJIU46Nt6avYjI2Sn7D6KFTR
3PzWQ0/ADrJ4O4+fjZANjjwbxXv2eQP44nCbNO1xWmpjY2eWpL0HA5RuGQ9x7uaXinmHZqo3T4qT
MxxdCYtINzUaHLV/Wmaok1p44opVXbBNE2AEwUC9L2cWKpy1S0USZnbFsLEHWsz8ae2c7h59cNub
FG5Ij8/pZBT4wCnPUtei50FgvCFfbI60k9DYOSpuszX/H2uoqVTvGLanCbdP3MfvXMnaX2Q3ubdO
RBKAPZmBrREyxPbMJ4fkteHUqA5avmA6KPurZ9oXv2qe8EOKrXrUlhXUoY1yL1xUmE4vk430Qa46
iQTCycUTl+hD1cx3Z+qZDBhySzWeEZCOpjwH1wi8c30hSF761ELHhUXic/S00CCOH8paezTrB9Gx
8Bp4HJWqb8tY3JnpN9i883ybPZAeBPlmmBYoMy85d1lyiyWlUnQSfOIC+VZGM/Lkc0niHvPNciP6
qN5jMx6J23/H5D53Q0KEkHKyJB/mnRvblFN0Y0NlI2Y7GREC8Ml+7juev6yIi0tFcTdw8JSzTufv
rPE9wZ8dFF0MCoEUuDnOFPhSq3msK/qAW5rG0uXfnFvWk60zzvEzrN2Km2SasymsqpXlzDgPU9YA
PAE0krbaiys/p4aNwV7ij8SOUd3JtOIJFzOVIJ1hfJHCseEeaY+U4x77qc5OhS76gFqOjYCN8eAb
zTdPRCmYuERNc7W0pcQBIfDe+5woGCzRILn0r+OQMnJUS38xwX6MvR+MPfRSFFNa3er2LfP7uyMJ
pXiSoRw0zQ2ToNXIVnxVBa5AlPk3PBhIAAuVXiqdjd2A85+oYh8svftKiQ5NnFGN8ZwI1KFNjbOp
Z3v2umpvav63X5fjR6F/1skw7Ez0gMMsK7WTsyYOCw0rLE1ddJBHBbSmaMYdOMh3U5Z0NACNj3zc
miOtvNPCiDNK9/iLP8c6svErJK9ioFAsE1p+aLF17lZq86dovdCZyvLmlvGBseSGL8KDF5ccqvRj
4Fh5zQDbzxoa7OIUZzT4kgL3FuOyfgSC5G19Sg3LyFShNJkSjh7JZWHcscXk3A/FSxZF7EeUksaR
c5oTKZjpToCsJ7QEi39TA55720z138q2oFJiD2kI6peNlQR1jnlO0EibyfKmJJ8Ypg3iJszvZo6F
zJIOqqYU1aZnUh/oAyG3rDG9Uffe0D9n/nK7aCAgbrkj5q+kPWmkIJ6c3n0aOtYtOcmd1dpsYo5a
hyFj+1AIGkTms55glpwNaOzYWnD+SvyPR4fR68Gi8QVJfQmc0djHzN62Y0zbio3vscmG8iRG9e63
GcEk463rSGD3k/syLDj8evXsZC78tu4QU18Vl2N5jDE8PzaUfT9mHAtP9Dg8Y33Rz56FLpfQM2yz
rGKj0m6rHbG54qyGlA3NNdDd9OhSeAxTnqs0foTqoyIQ1AgW77zzHqdSPnLUlsGYmEdPi8WDluv5
Pm3Yq8r0LbdNAyKpj9Mu0h95hzkAU6ewsNEA5oCxOtfFxnTwWfU2TZ6AM1jOS8C1Olq53Tx41Xgb
F27dbKxzMx2dQj4Nps650JIf6nda6vDMFufT9m0Q/Xo500JSPGPR5HODBGBxTw+1YfAChQzpwXrd
CIcxNonXEa+AnH1uP0tJwCmjAsyejadWwF+twICSImVKUQ57T+Pr6Q5O5L/k1qSuuI/Jyil9N0aY
xdqiOZGiF6Ey2ROIOp86l7F/Jqn3YzwiE+s19tMtmxprRm6eM5ejlz5fFizcG5mR4+EkFzCEJBQi
WOoSe710+Hl7nXdUBsZPfb+u7WkChGmS18U32kCsCZiFKQDjA87wPJhJ/40LWuA5q+CtEqBeBCt0
LTo6Iv3vgQ6qMFvIitY8KLE5Uj3ApdLKjb/FzDE2XxhPJprzZmf/VGb+HZf20rhrKXaRNqEXVzE/
DKKel8JJh0cL4VO4Ty6RkRmUCiVGoKjlG/paeerN/o1A57Dydm4pt1JmLaV5o4UJxFD0J3eNfoO7
XTtKzTWDacy/CPPXobTvQrCOdmP06i3efYpoipxj3bg03nQ0yNJxMx7QPluYZCrj6rDk8WEAl7+t
DHImo8m3wXG382EapwpElXACYDJl0Lhfk6vQ24svX8wHIuIA6hIoj26tTwE0QbnFUNxsaLcwt6aZ
2kGtZQ8DkSDf6BamDTcQAU98gjsnih7tBPrlkOMjpVSXjm/qgWI4HDy/dFrN/SPUHCZXtjdzqG6g
L2H0n9vxKBbzYZ7Ju7me+qvl77Jhc4avtGsd82HJJ7rRljrA88HMxXxC+/0QcttFLpdLAH/elNJx
Wjj8W+1HSIjJx7S0YwhIaO2dbxlUc6vfexUw2tKmvTFtHrJp+aPVJIn1efzDD2RvdFNpVJbca726
Q1Bb4vGVgdfOdrzm6vT2g80Icc5tonvUGWPGiO45lAPEzjpcR3tQIWjMNKh95vG5OrK9Ma2VAQmy
u0jjqyc10r/m1NAtTmoxwQlTZllopH5xVGn3HnleyJxj3Kcwz8KFMwmTVn/fDwjYScV8HgTkBp/x
vnSo+fPoJKCIIObiT3oBMyMW8KILBRngEA1ok1HrgTrWjoc1oQRLUd6GOvlg5OdQgvZZ04mLzca9
FZH9JIVx0XTzrmTOIdMqrnaMjUEYaEGqjF/86XdZQsFrZgNfRgS1v+AG6OgDKQjfqQKa7dqgYjuC
bax6s/mAZG+fV28TZ1fIyKobQQYNdAeC5Nkpnoh9q+sqMKWCSeSOYj95mF2dxIkC112jagll2slQ
7xBNvIDbXn6Jkvmj8/or5P/iTH78NMV0jdJOe4Led8gE1y5rmrCgFPVZOPRwq7QdN0JYIId95gbM
n7ZT5tfbpOo+VcLlKYG22hYMVyLnCHSWFnfY8q2HoXucoJw01df6u9TiXq3WvUnNP3PxCpH2YKu8
ZfzNHcjVjYMiMTo7y8Kck4xPU9+96Yw2l0R7qXt6bIvGeNHxidOsnrRXYTKq6OjuOirARVnn3H3C
Li8RTmaR5FmA+SnbSZnsYq+kuC+uKQCOB/QB4Lx0rgotqDL+guDrr4tiELAegQ33Z5YHq6NJ59vg
JAzF4i/J5RpGnqKyFPe6sr1dPw3Pk+CQFPuWHlo62GGhO8W+6GzqanJKTBsLS1OXU8Yyr622qtOt
UOC5DhFVFuCGilQGomiUkg4xjGcb2wc9nWxrdVRdI6hwzIsMcUw5dpUCAjRWjWrAIEXr8E1fcWYT
1/sxLpaLEU3nnO8EwtK4A3tZXsxq/Bpnxs5kXPmIPJIPg1cf0b6D3PRC0/SbnaVJslGiOnRFznvW
HjQvd4PUX5ow/hXl07uKijw0M0vjTATd2GlPRaIcdrlzTN98Mvv0G7rE19a3FmA0ntthotAjy8hC
VvaX3vE12PRkLuulYZaI2a29q4cu28z64BzbMM9b9eCIS9LSE5J67dckcgh60VSEuZW3cFzimwIN
syUn+5dSkmxn6dOfpOG95qpmEurZg1NOGeQN6snRDg0mqUNt0I2cieKQMYQZ6pbkXl1tU5eMeK5R
nOg6QLqgPTCZdO+6Ze9TTlywvKj4HmqCBLonVrhuf8PMmK65bw7f3hz07a0y0cV485/JGSLdJJQa
9f1ZUfncUWQYDhOYRu4fpP2qIguJpaX4+LT8hLz3nNFrunfkq1qqGRo0MQyRZAi93VXv5le/tF8z
A7lwznpI6TTyuohGBfWwUM++/Bqw8vDdz84HWG3IwBb2nTEV9wIMT2iTD8IN7XwnXkErXSrrUNXy
H2aiSVuHt9VkBgXgauDEPOp1SXaYTTa7QoGWHo3JfdzpB+LQxyJ1worxMietarG/8myaQ41N4pQx
8QoTaq2Qv6orAUaul7xPEU2nHzDywZFnf6oVxTXG7tkE5Vf5HAIntqsOHTTkTnysOS6+zfLatfPw
aSeQUvRcx2Z55Czm859plJvs+ir1/GKhyaMwP1d+/WQqo7sYoGoi6m43FvTpLTAELp/+1HFJdoGO
KR4njl2UUM9N/dVqqdzUrRHarF5HLfX3yvyXeZl11n9XK2heV5p9tBuMm05JFW6KBYFFAC8XVZu7
OLHbC4EtjjLiXzpF6Tr4fAHpgnzguB/KUntaicSj0JR4RJ0TmyFGGDYZCzPaW7YRI7k9+nobEjzD
AjPYH3o6QJje6HrMlTupVpCz/Qti1HgrjKeJhEBfGe/sE/zcmTNtUpMmJXtRaCokemMXN1We1mDv
ehK/+rzPa77XBoJSAOCD25LPQobvDNpXZr71w2fEyPC86Gu55aSeeIrK/dCnsGIjWPcth1N3FWsZ
NHXNYwq8MvTankQ597tN3qbvbrMVWl++tqQXe3TiXTUCyWObCRPGedTk9MTRsitfgXzGGfUIM14S
jQMiURb32fGug6x+9a5XbB0oYcSqcKzkUxU6kiOx4TCOmnHE9kRCGeCbQdRguIKBmQcuHIGsYDo9
bzmGn+zOtlkYEpTURXsCIMcRsvEZdgO+mwCr2X05bi2nANtOlS9sp67YVwCaeLynEAKGy54aFJIp
D0chnyrH5Up2SBx0OLK8eZIHmy6XbrYPs1sux5I+dCyJNuKyYk0dMBxue7f+HtjwT4vnESKj6lxl
yLuWUb1DNc7RtqMbbpR6M+rJDIRh17XloSAyfviPsuagZzi+x8E+O4oa74vf3/SOd8JcKMqepc1o
LSrXiu3vMhnkPqflZdOWA+syH7fZIjeB4Fm2i6vBlU6cBAMxvcEEvXbe0knEvwZrmNcgsCS8grNv
XUHbHWvXt4N4cFgJbO3ayfJvlGXDjpv0pP+i9pbp3EKLRHu31TycW7ftj1ohDm09rAn3hbgrGIvU
LBa8WZ51KDDGwHIdsgGqtE1e2a6W7eBkNn0mAyZGdDS2VC5wFbY8HrtNMfFYlj1gyk5xG+s5uSzM
zUiI3puKnkizi16N7ku02v/5gYtibgjmdC44eCagicVhZW7saNO4Eu/E6vmjvPSYWoUK9Uz8XeYy
D2NztSqvdLoZnUrOznjUmt4+liC88Lc5YHeMjLJvvX0pfDpmCk0Y21bnefkZqMGI28ZTlJ90OQX5
QOESQ9l0VxQyOdp+v5VWI084o2pQAohzU/JmpUBZxcJEPrqbqpC7H4tnJZttEXUG+XYA9hNw1e2P
2ZKdANwOFjLfy0+OaQz7nwoz3rAr0jPiSt+8dENcn4a5FwCcO+wT4w3EUrePIgTwTdeP+qm1Z2T0
KD7+/HUix0WT5B/hkT2PLZRKZjhWULrwhf5zfy+rfT0d+jtit9xpjVOfNKNtaECNQFQNy0iXMJoe
ZoSFtL9mqycVNVANOQTMGc4OuNtb3V9fzZJv1ZmTdOsIH0l8hbvFlQEEVpM3C0PADi7a78arDyMd
hBsH7vK2SNIVadjRYOv/GbpB7uYBy7hwDsC7ESa7bLvkPIjEs++KfbjY9KuptGbUeNLc6qvWSyOM
vITu4MHyAwpboBVF86/VicGYxn1ZdOXhOsTNuRWEZ/euXR9UQiCwW7RPgQLBeKV66kVkB6Oq3JDX
9ooPPWMsanxWK1CNeRG/SDB6KeiJJqm7wAJmsPENwu2RlXPwoqCRapZcb7wws1pGYsD3fn6ReQK0
kk7HnwrVMU8/nArLq9AfnD4/U0XO2C2eTlkqdgSCmdWt+Eb+qxDD4631klcQJqYXD7g6sAwXvrU3
7YzKF8s+5sL4F2uDzzYLxSSnG2RrFRlfs+dlaGA0gkNyLjlm5mtQN+9D7IP1xrKxbfdifDMNYe4l
i5zvDtUxQ3eHDxp5J0IcgVG5a12NoElr16xe2mR2vgvDWC2MFRyImUeijwFMGX3zxRX33ZsoOJ5L
98oGSJpbVzN0Uab8oE6snezlHev0GKale/e5DtjcSMqx39PME22LClWT8vozyjMYbWRGTFdb8dxN
9duSQIUZa+3D6UCdUVSL37j4+nEOu5w+/vM6z4ioeyvzAWFIDk/zl52v4YB+yfe1pW6a78enRd9V
Kn7ArV1hyoSKknEWjuMlxZhXrXXEo3WqQGb4fG/YTne6zZug2KIZb8GP8ZEyG9tud2Qzn3/eKhGt
VBMjgTigJ2doMY8mfzYoDR7LH9fzzy/Lyl8sols8EYPotSdXkjNBEddJi8hyZ3jzWwF8f8eh4310
rZjYVh7v5pXJCAYPwq7SaR0oxWll/jOwubBsY0xe/7ZtjXtFrk+KHunZ2ZrjJNAztPHJGdfdYf6V
rNRJTcb8ETaRl4Y0wQZiUH0aI3mzF64rso4+VqpJ5GTpwWRNcobyXpBP2Il46ViTE42fb4j/+tXI
PtdmnDEwOOMaLXeDg6iWGdqhl+vTnVmnn6ZffbXb90Aa4cBx2XcY/oxWgWAWR3u5WDgvzfLoc55C
mJu2egSlxo8oPyT4DE60VdMfBHL2fZvM2v/YO4/lyJFsTb/Ktd6jzKEBs+lZhBaUmcwkMzewlNBa
4+nnc4+qCia7usvurHtBN3eIICIAuDjnF/AHuRm8e6FJl6AZI5lMjWB1jARkOMhOzkjf93q/xUAj
a9O7Hoo6ftETwLA4fDcgXrL2BxRnjXoHXR/UcdXyulkl2Cs80vW/M4WE3vQLu8gXJuQz8J9E5XR4
L9LU7pVpXeiPPQvzqQGhnvxYbCvAiBUbmwIfGoBKSDMnA88vyuDWCeCJQQiFrNnsfPEJ4+1fUbMe
Lk55/1P0OQ4iRdf+8x+c9C8XY5m6ZxuW6bIUMWx5sa8uBhv62bFFWx6EAD7t2lazy+YcyFEqbo2q
fs+KZBMFGIBooK8IBUXSXBY9iFb3FnDLZfixLBHBQMfNjVFslEhoQs3vqihN7xwiZcXQbhJow0Sf
pmALH7nYuEak3VtMJxM3JSwex+apy1BAhFjQ3gSWC4iyI9Opx12z7rxkPnmQebdjmu9j3UrfdZ2B
qetyVwVB/JPM/Vd4pt5BN5BZGnKgRgw5PS88+ViRYxHUab31YbZ3UAIgyKaxeNSqmN59HOxjlpI1
sEvm9lhwMtnNGDZDaS40JvqOx1H7VILhNetjKaMoiEjeGRPJwjyapNKaiJ9hSyKzkhVboCMwVKLw
mDjecOyt7hiIyrm34urFaMb8Joy08owyRk4Pi4Jd1XgnwhDQChokegqk1TdVE9NN2lOLVJscMRfP
vBcyv1hMwY2faOFHgihZSM6cVbe58+zkbnRdojAtWQkgt+Y+ywIAbWXiHVFPx62Jhc/eoCvdEvjp
9oAf9F2piZfMXnLk+Tw8CrPltiQYvekqy9jWKHbzHCXtHniWjEU3X9OgCM8TaF84EkW+Qj5LuyFy
+J2hAor6zGWmCUHEUc+9sxWY+9gdpxu3oBPEtGG6BSmIg4Zl34uxLr9OUYo06SOjRPEFoEG8siO0
xQjjffEBPW48o/oYB5goaWQpQbVZPPdBeoMMFAM9ocUyN4wn7EnXTB2TT9BODm6VeVtQbTiVDdby
nPvY+MZV9tOsDGMvch4m+Cgz+GmEKH23+4yB3kjsk1AYlG9xazn4A2Iy9NDLVuIMI8EOWUUGWyA5
2GU7ryrFCmnNrOZ5cRcigmT7xdRDyAtdY9qoM9U5vH5EjOYiuhyIfLGLHtA8HwJUo9bAz9KT1VVM
8eGySY1hpqR23JPVsc1jJNVF0dtqDpYOzG1qCfl4H60E/EBBIhrVWmSXQncBM5u9L+cS/XzfERuR
JoK3kljqwkwKFAjSJbyTxfsWG57Eyx9E7oaHyjHXpOTnG98f/VXmAB6LOufo6DXWoVrzo9YiBO6h
YyOwTBQDtleB80VjvWO+Cao6uM9qHv2+D8D9IvW2C8sAOhQ/7D0SMpCkx9S7RUMNU7vOQi2PYOE7
8OclDplIpAXISq76ANbeUBhrvUqq+9T+WYfD+MEDSWPrXYieM1E6kJn2OU4E1sMQX1Kv0xkOQfi6
TkIsUJqVYLN28IzBugnC/n2rhdXtNDjkMbF0wtRn3HVVA22xXwjlISUvufzNLrAWUrkEcjQwFVCJ
cEacnBWpDnThC/MuccR4Mstym6Vlf07MRsWYOtaIkIzDEuvobhrHM062zYbkdLMDMBrvXWf5SogX
uXSRSDe08gBtPN7YIWGZ/9w562/cnC0IoLaDHJtHVy+gxb4ZKFKpAeK0ojyAKEC+Gz4hTkTJCcVV
xLNGlO9QzfvR8BzDmMmADHhxCf59Sje+LeIbY9Du9ZqFUoHeJnr9y0+iiX9zicrA+JUB6+USfceC
xWt5pvF2LPMahyAfGKjDpKNo1YaNvh49EnhgvYyzyFqe+DxPfgR05RZeausuM5id2qb2MCTjRheP
WUHoPSJ8uB4Wr9sPzYQGCGA1zEDQuRhN7NsE+SpihtWqZUJPqLM0/mYUfGvTzLfwhIk2rONZwjd9
2/l1EKw0oPRilsqtelHfWiHWZi4asiw+NrZuF7dtfqrK4QbFtBUxrHofo4NLRhNAHr3PCL69+mA1
cYzNxBfSSaDmyloDr5vDCfvPj4Ql3VZ//b09YB4Cg2/dNf1/+b2hIWqIvDcg4RMHIFQdQjasBGK6
eNwi1g5Dph0RAm0Q6vGal875NmGEfeM6bbPv0IHzvCA/O2ZRIN8zaPsy95+L2j3niELceIC4t03K
UG83tc8E2zCQtstZsBSVzVwVDplNAnRV4Y6wH8YGLd883xusKZ4DZ/oxLPfoWE6PVYVME2qshxB5
fNiyQP1FR3gndQFGENmPiSYdkLhML9Oq/xLy/4aQ7zomj+u/5+OvMY5qvnwv//E/PxB46ubj93/+
43LO73R8XRi/CUs+/pDowXRL8+rf6fi68H8TzJ5d/I4Q4vYF/6koESD75z8s/TeB7bLDmYLXxxA8
qW3Zy12m8xtewYYPW8NGUJcP+cf//T+/eKa3b9qvp6hcxq/PvPBcz3OxHyYcbtoomLzpBkEAVSLQ
Fu2MfjopTmiyp7EFzG3/WbtsAwaRrZKZKQBwK1lXR/3LvinAxraZiXy/2i8/TzVVUerwyA0vBFU7
+g/olSLU1Y7ZYzS4HZpjcELTNmIAa9t2gibBYkpt5MkuTqqo8LfDmVAdxOCY4lcq96mjMnn+9dBX
H3c95rpb1SYMCVZNP34aegzVrjvf/NdRWbpcd6vam2MuV9Zq9G+5zzT2ekyht8+CjAcps+5Yuc2w
b4OiYWE1NidhOShwI49LDk9tVQXdyi/ttLSbk9qzRAJ9EDs8qrPVpmzQAXg8qfr1QNVUxfXIy+Hy
3776B3+1+822sCi9HdOJ2wj7lN4R1fH6Sapm+u4tTBRnp1xhJjOtl7WqqiL50y9GNQ0Aa4i7o2x9
MZHpAfauFr91L7fyehff3FTVLNT990Jj2aBaWjE5q5CJaSyvOmECWJ9gJ0arcnLjLT4FPKnqIS3z
CrqeXonLgWqbOuVynnqkDVszd3qn36nnFPAIJ6vdOWpStRmh1in/STbCRurjzrnsfHWcMVoPTu+O
O3Xc5eWQV6Salw+VTXAfQP3uRhlCs2KD6L2qqgJCKEsc8FoyhjGHjQFcokVhIJVFQUgMvQBqlvQT
QAG2XMcywIDSZtQcVLUjolgCqjvqUV5sOq9AxtIzealk0QO/Bbc2gggJ+hjUCTbMcnv85xEiDfYG
xPp9A5r1RIifBJKfymjsn22zKdHXdIpPhgxZqsKx+V1UzcyIbeqyUM1smZ+XmYCcJ49gxbVGY946
TLb0Rwo0QenBbdn7jXvA1SW/uC2EbseaXRkvXKpm/Aj8nNdjnuoNEHb2KmOTXFWV28lYTwN8swcn
9G1kIsWt+mJELvgXqurZPdiTDKGDNTZ5uB8brpHfa264dhPJkLRmX2yvl+/qiUvQAq1IRz67lfz6
nYz6qqYqWID+3mT2deu16IHZMtrasXhC6XuxEPUQ8jdCohIttrl9VL9CQgT6pGrqv5HTAmViuWvo
f9Np9mMCkfh5gnIgkjaNbpyvrH4aSe3XVG1WXJsqxWE4kyoh3kK2pIorbTUnbbesL9elozXGD8QT
WmJKDzydi1L3xEIToFchb7lJ3aHrvQK9Wg3FKQsWOvk0yz9WbRGyaJDNTF7znMD5awKIpq1AJSMm
uA2PCX8H1/7oQz1gVb8ckxrpgEXDZUPtUzUL5TjDyqQPM44gmgC5rGr+VGEfooxEahnl0s3+u4dV
E+FlqcFgpkx/V42sqnaxJO91L6129oARljbAXARmSzXAdfakal6bxzxM4Y3yxNBlHAy/qIkfRsbc
kLYtTyFINaafPNK2H74IDVbjLAtVuzZZRZOpXqKfalPfh5+8YXK2UDx4JFiBticvywPIp8ttL5Us
1KYo7Ix97DBjT73nysro7//8sh5KdHzZP9uTgGRlTMDBr9/w8jXNiLCfI6Uoqk43jqhhwPirX31L
1VTft5K5Dgs05uQ1wR51dOBs1hCv1TdXX9dV/iO2KtWGUoYY3dGAiUt0s59c+nMjSbevnlf1wJQp
gTrywdLpSvaElzdYvsY+wKA8MvX9dZNl5XdIR9k7Q6aGEikVcy3ChdSNa8cLDC3+ZenV6KuI4UH5
Fo3Sy8SSw7ZqJqKMgEXKto2WCkJ1pBKwVWfE76UbiyqEBw5Tq2uYm3FLnmMw/U1FFHzjymfeka43
uYsGRJITj2iqYjqpbUExf3aRBNgZ0uVFFU6WLquuxDZpjHLoyyAHUMlidJxYE59UzSXwn62KtJmO
jfteH9FacQvPWcM4weArz0GLMu61J18WA/TdlS8QxwlB+PIaSaUU9YBf2lbdBeuC0OsqCvWNUzW8
W+r2N/JGqmIhLQgAdR4BjdS+vQ4XV1/WhpTeYG1B78KaDUWRBGB7GTPi8fNdrWCuza5x9C3e8/0W
RAQgGcQPVRGG+jNuTQOyDLzsQsquqMKV5njXbapZLmABADuzRx2jdl+bapuZhBH2tM5ZtSxGaBLw
8qMvVbX11edcqp4OZKqj33OQZto1bX0DXa49TTM9g9FO9hGpFOjLw6bvXWtj6am5wfucOJWNHcwI
nxbMJ89ZJqeSnZxItbqUWbHkxktV7adTuQe+AY0ga5xVIS38RuU6FgKWWamq2qgKvCeZRMpCY9bM
oCEft+s5qjmAabDjy4eoXWqr+iBkgPhMcAjDqmodkruqHcsPuX5SFLDGM2Jbsmnki6d2l2o+o6rI
MzIYy3MSWVPNNB+5Cdf2X+7O1bxZHalOwsWKN+b6mer0a/Oy+81/S67n2PA+9h2CLNdDXl3l5cDL
Z6BYQ6gk8EjQkng7lZMc9NqRQU+1A5gcmzDo2ss2taOXe1VNFYvHUKQOVrXruarZQ2cjprFSDSt0
GVhVVYCJQZdOfpRmyeFWVS9br59z/VeMiJJ1lyFi/+f/u/57Vbse/OoTr5/15hLfnHI9borpKbz4
oDSPlGKOKhb5Av9VE+9Wf80Ab6/UXsJwuBfK2ca1sGzstQN7/q42iT5meEcV9PUhb5rqwH+7jXwa
Rnc9aC11nKnmC9d/p867/Je/3N8PdrCundr6/Yplr3S9dlXDDJtO6vp11Y+hvlpjJn/sUe3rMbYe
2sehRl9pNEnf4CkvP1gV6scbtY5bjrtqvtNS531VFdAlMuLFpZrk5cNwG4W5u1O5eVvOzVw15VPt
a3HZ2BR6AAYZDN3bg0x55uUj1Yeotjr9slG1BYwpfB4XSAUkaSOsq3G2F2gtjkjdEhgHM6TZ3bZu
YuJCpOy2lt3gmgSl1V1b+LUxuZXD3mQt43t9ajfuXLeHwRIJhtYAfYScQKvMfa/mkgocYERgXtde
08SrGfWgbdD71slfBG7HshbVOfY3smbFg7tnqQ9HldFHYR18NatKkMxc+yZAB1RvYrHWzsBaixOA
AUYcJVYXwQrMwDHRr4ayUBuh1WrrwWitFaqi74zIJ42FWxg29KiKYc0x74feQz5ZFj0uo8cYMCG+
Jt0JUGd3UrV8aI9JwpyhEYXAR5RidIPl1Damvg1L+6vVi9dJW5W5VdscZggbUzdJIHiEPLUF14iy
NVGDa5doDVzEXut18rI0IIZzNRx7ciRWRbvYA2qvzwjm87XUL6EkvtQPo2qqUDsywKXrbghAG0qT
y0thZBEyCMCJVd/YqZ55keGHUfbPIOSpqq2iiO9m8t87pRAH1dVn0hzzfUP0pN8erJSv1Glqj6rZ
0aoyuRlEiKRh6x8FvIrXTbVDbYulkJrmT/YGsc4B3yMcAp3EQjzRRKFYbbvuULVJ/lT+5PsrLDx+
v7+qdi0GKVio7rnappodCkZMZOQpqn2pLf1jhAoxOW61WpB71Q51sjouDt27jiTtbpFDbi8HVuaG
BWaHfzQ1NURGarHXyv21Lgfe66FRXFhoeMz++tVBmRkD+sQOZmCp6i+Yphymuf8d6eEbwNdWuECw
6nXidsMCI1qTyitR4q76G1Wgvb120UA5uGJqGRSk36Eq+pw41IqcwWYQfXXpwGvkdn/vyFRPhNj5
RDa+J/ZeePMpM+GxSIU2Uy7RcM4cT9dmj5ZEvrq2VU0do45WzSoQ2UGFIP8brP27YK3rE738T8Ha
ovjxrYu/9d0v8Vp12h/yqfpvrucL3XENBEp/kU91zd9cw3ZRSHU9S3d9x7/Gawny2rZuEvq1DNc1
LTRNf4/XWuI33/OJfyD07uqG5+v/m3it576J16JtCLrbEIbl6a4thCF+zabYzLR9p4yHQ5OJQ9QF
4boP6xsrduN1xGx9bXfdS6f9TBvznScAy0O/7rZFP/lkkx0kE73MYlrYIjfvFc8VQvai8568AaRb
WFTBeQB63Gc3g4f4I7KHd3EJ9VLER4SQkWMhgIkhLvZXfujTlNocWWmhei2DtA5mbMXyIZbWlrO+
3OmR9ojLMEwJ0/2CHdgH1zceMx3WiAhHKI7QSN0HsbWDUTK4wpVeQ88NdS6yyVGVH3eBqX+By4Ce
JULiYvoQeEuyNmLr0Z/fDZn/1Iz2RluKJ3ClP6PGuXPs5Gs/+vetE92OTXAzdUy9RXOX6igHVBC1
oaSiZVQNzcsSVU9RUL4DPPgJcvZ+5qVuRdejROh+tMzooXfTnwNw5LWD1DnuXD/LsDNXU8nP7DrG
o1PZZwyfWLXwO6Uh1xy6zQuuXag+70wI5oGEpI7FHVJKW6FbrJStO5xpX7IhQPsFIa90wfcmLL6b
dbJtoJ/Ggp8N4YdkZXIKkGZkOPwAWZLcXLkSyO/Mtwb6zxDeuatWevAsJPcisn4CriJg8wpR1iQD
I1tAnBhXEwRbUFHe0Zqcz4HbfQsazgM0jEZAoq3LMccRMLfXUYALH+wVnhQNXKqzfNadBVBJg4J7
lIkVfiZHB2OD9ZBaj4sLsrQyjYP84MQKPHzg1GVr363qGZ59C8UfBGo9ec9Jb4BFTODpEYN9bEMC
NEToUHlZo0aOr0JVgOQe6T2Hidxji6Uc1LO+wE0ciO22r9EmNBG+34gl/EAkAql7t/c2fln8bE2c
SDI0+8Eg3cXYbK7423dea696F55zV7rPTecNZ5LR32CT6HgE+k+J2xQbiEch8istdHc36kfiWAk2
Anmy7KwOLKTuzg/aoH8zmm96GmvvUIHY4BoLWLWvxAbqXO07AVSnE4yndAdRNT6gfTl6jUmMhGsd
bQDagXuMhoKgIi9L4Pvgq6JhC9/WWi/iZ+UOAjae+Yg9loSz+k/1FD5jVXGXgi5NdX4gYT8OcYOW
mB6SaCziXQo+BnYUyvR1wdesdmFiRes5gNxoZN+mIVgzFR7IJBrv/K5rVuE7Vv0dYFAX0RyinUAs
Vn3mkyfGQi1/VxkmM1c0/Szx0yG5uFqkMgTpzWMWEbzIwW5Pc4r8bmquDINfpTHQdxilSZ3EWfIm
iGddhoUDGxUHHS9WzJGskUcExw+s7sh8rMICzB0efi86il6brnQGHlOEDZq2eRkTaELakcxOwfSd
V0zjpVt7Yl9XKM+ZPA6x+eTCVEVNMD2E+nJa0q8p0cXUy0nK8lv3XIXQw58WqIR+3OGs8IQN2g5R
zAcvAk7tubw0zcAcIMqbVVrmYHCRGpZ6Y53ppnjgst/xkq8mNPgVfSOYpDp4KRqg4D23EM7qk9GY
OEda/ZY9QNT9GHcnjB+RyqI/NYsA+ns0AoDANQqAx4uLJBdRNdwi6Wv3UTvfePSeqeMmEDkfiooe
KMd6YlfnI2bGaf4VoX4Le/r6mFd0LAXOlFBS8K6T5tphjUElGqqAGp0dQrPvehya1klY94ccVThM
mZBwHeFiSMYh72xfQbaNcXxI6CwRF/1ilP5PY8rQlWuzTRsBkw7qeVWmVQAYUzt7rTbtu9B8gER3
aiITVauaL+RH8ILpjlIXzYd5NG9iDMz4PiBta+gKxJswW0nigsEgvTX5IVZ27t2GwVnEsEH92HyP
Gt526jRr7YHrJmqDhkyS/oTmFawjDRVipALvRo07OFh2uy6A2CIDgthXNHsfRG8fSqTV1rq9qm9F
DkK17MG6iLxvN75b0r3lrJFJqmC6LFAPDDprPaXDdtCxTIR6C0bV8h/Iwe4s8x5pXnOlBcWNUQXf
CJQzy9PTTVQl3/sie2+O3K3UfkElCJcON112ZdXgazNXX6sUD5KitZ8GBt+1Y0a8ehkKCRqcWdPi
cZF9Sdgaj3MjKWoQ7nFyey+a/vvUTx8aJzNWXtfRWTjhg5t+V0/55B+6NILe3sDmc/ajNaI52M7A
Xt3yPsbHxstHutvCao61CT5LDVjATyEyIbOI1EwbrIe2LhB9MQfsYeKv5lDdQzT/4vbFz8jK9wiB
fiKuC4lNz74LjXcxN+F8hUa+zy3D3saDdQxaAVfTZ+2JS9i5Tvz6DFt/b0/2HnWh3YwprxbG8wqL
sLtldG/HEYJzIuiBA9gFYNe3fWxvmRwxTi3iB6jSj94CHCHK5sfFzAGCFvWnuF9c/FoYjDQdwWYT
mVtwRrzLywAECwLHndZCbl4KRIncJP8ixvS5qcRJX7CGmhgnwVlVQvywrSiBNzZ97hASQ3IlA40U
frEsa1gPFfgczNDKDCIEGjuBjh5lM3WkUB06G8hLR59MLlP8rtjpLdYueSyg3qLoxKKXFLfebfuK
zmd0NXD8C12FF+Ie2BuPQ4/Abj9Nu0V2kA5KTqzTGYmFKbB1GM71FKzqMMHeHEYAAj7oNSQRMoQz
6KxMvzNd7iveFNCwsbFXwyEvj4nUR/OSydkXWdDVpOn7IaZD1ELtaZm7F4xgUqyHemxVAEc2tvVI
VmwDOD3a+SC+8FS/tZF9Zv7GtEGzq/fayHeJ/FuzJYRBMkxsoloU+BmxjtaiOzl1iSvj1m1bqUSv
382LeFFPDspjaIpD7fHw5YoKTKbdSYPayBC3swonRQrdalaN1t6PQ/CModwhs+x6Fd4h6J/yILG4
tCe3g1ERPBgLmmVd4nL/8bZLdACiKMKtmrj44Y067BDbqQjyY7LR2/Z2QBsi6uG8uquydj/mJVOl
VGOa5SDI6UOKJyq/cqoh2XW69Y6fvDgYjtOdO2P6vYD2352bcWhX9ow/etNsnQnUvQnpAj6GfmAG
/imqHUYJidppczU5Hk9N4yOtW2bPGdxtUkzy097ZkfsldO0ECGKFiTgAXP0UthSXNior2aYYAPgb
0jk6wn05SeDikaR+7yEjcqpmkl66DFiX7q4jqQmBHMUXlb+1ZRijksnba063l4neYDeHLR411tfx
z3SRU3fl2pE4/j42kFzPvXvkReydSvb6XoNCliScaCbauUbj7bRu53hkbhZy2xOK0Hoe6XsRO5Ct
0yDaWFad6IDqe3+fG6hmWWjXrVQiWSWOpzz7YDd+tkO6kh1YDQLCixs0SEA6nZZOD09zv41rjE4T
JE15k4LlGLegJvsmPUfF3Zx2Yot4gAFqUA8BPnU3VR/16yaDg9PkSK8DYbjRSkPsQTY7JMh65+Sj
PhQ5Fi6X8Fmbongf2D9wOA7etwvCYK0/fCvLZriJXDHcLI9Z5NxVtUnOKSOYxH/54ESfKy90TiYs
v5hMzDHrEshZDQ+M14qJnGyg6WtVlVoB/K/sp2oRtSCW0LvLSidvmMiYjsqwqhqCUXbhhmcXAME5
KeN+Nxnup0JD+LjmYV0vvfPiCiSrS0M3T2OUmiecPyFJX9t4jhpbp4i+Q5MyTiTzXHRxVNVKMXJ3
U+aOAf9HayrjpGsBFlZZhB322MYbpjlE5ydvASVm3JAx1c5NQtw3tIu1ahljzHLKDyFQTd5QbQYv
086qaOXBl+ZYfTTjINg5ZeduWaggN5V347nzO31rjARt8PQY8N8mH0gOFa5UEY83DqJaKxP3kNXc
wMVYBNpTHgDRGqeISy2A4r3B0QHCktymDulrND1b9KEJMW3VFjBP9hmRQaloUWGm0QoI3fZtMCbD
j4qLrSCUfUqbAK8dVJDvkL7IWdH0w3msR+d21rSbZGEWvljj+7hrtbsut8/FiMhLbUpSO+oKT1pb
wIIpnXCvmvYS3ZnglbbuyNyMcKvxlMWJftMuiN+jMViuZx2SfuZ74aaLzfFztSAmP7lIgtn4sTXp
9CnvXdLaPQK/MGhM3D9tpudg/UwguKvIdZ5exRf+ggGgy9X4a0Qhq3XLMT2gXDwsHpHVX1frma+R
VQXKeOgQV9wbwVauVeN09jYYUz31AClWpmBZMhAwtmJGr/+f/2/pngDMCNBMvIkW+LNlINeBTlbr
Th/spb5rXCaTLPbMOP3OZN9o4d/2TnQK9OVvcJ8SOPYvXx3SmwNfzRe+9+ZfM/nXrBiy5CGbWSfK
BWPb+09TNuur0JrXiyUOIkKF97+xL4Us/JvYlwGHAmjhvw9+3Tc/wrJ4Hff6/ZQ/gIq685vlONBn
HM+RClyEsP4AKhrWb7Zj2zzDuuMIXSJ4/wAqOr8ZDvt80zQMFxAj1/BH4EsHqOhbRMM8DF4s538H
VNSBPf/6QAnbMrkEoJICpCJP9JsHKm1RHx97P34ogs8quK/8JZyMXqQd5wMZDUQ/ELVmLXNafOBR
VpN+8Kb4e8hzhhKNDI3LbPe18GSaOkjMmwn3SCnp9qD4TxcSlJmeu7rM9olrA0iwJXJk6ip3p094
74a9AV2EonSJfyx5YrDIbbb+0NSg//Vy20UMbknmOMwiF5iPYUReKh3GbdXm6aE3h3NgWt8SPBIe
6j7rUJn1P+KqSXITDwsncB8cf9Og0vjQ13WMiUN+ZLlzp0/4WRhtfmv3CL4Wg/k15t2FH62dQ1bg
q1obi90liK6i7G/i7Y4xfaxG/JKQCLs3h6JC89q+S1F6OmsRtktD234PpuCbkIP3xKpnW1Yl45Qc
Oi3IhXSy0oMj6HeFPtrnShb+MJknM8OsI2zOdRAy07aaYh3ybbTk9CaBppoqlQY+5WlKu5Rbxj1g
JQiFjSjEUIfhmdAYcmQ9LI4CynIBAeaSM/AdxzlIxnCXeiGAP5lMEPw3OcLCWMYxhQlw9jSayU0S
iQwTdaPfzKUH3atJgUoh0L3pBd6OFvA3jENTibfStdkgIIlZfI7pLUOUYIqpD1A5RqmvKlEgIP2O
ZLjbfWFLkIHeldXG7h0A3KPbnJFUMmCyITvAWm9n5KG7F+6gH03/darjzZ243p0yTq2t1vQ/TavY
i2oODqQjkpXuIUPVdEV/UsUEYQgxKvuHcEtgcP0IuspJmn2PWgETE9JdqnYtJoloMrIy2FvMJ03+
/UkV6gu9aapsXyMdmRqMGJB1knBKlcy5VJfJeBizNANqaHxSSUmVjlS1a1O5nixug6p5nq3VnS5l
FlvVroXKnqomJoMoxtoYbak3Ur2MrgKcRBKNqDaqpwNc/ouZxzAgZI5I/XTX4rrNZAp5TJOTSqmF
ksgI+JD0HDPJAvQbhdqTLWOw8WQEJZZgJMWXVMUkM7LqPc/jhgQ7NrrQqNwo3hoyJf82b31pZ+nO
mbtHq23HZetJoEwEWG/ZNtmXMGUl0A2ltYk1FvV5ipml6RHOwt51OammKgw/aRHHAMKX258SPT/o
erAHiEfsi9DQBvZGCcnZW8jQMgE/kf+lWhczDhYsjpoxePZKxEqZdW/cGJMszzSf8KTOd2NngEhR
F2VtMX/IUOjmZVMbdNkTqsL8s6aauCjrAOjEHopEcZrlCQaAwT2S4LcMEMgyFPoRSF15djC5AM6m
hVtgqAvfm0JorCz9eox3izW9YHzhg2aJIuKlzD6CVF+HFtxepEeGE4YSAFx54XdBZL9UbReiZ2A9
eQmmP+oSa3m3IykVi5YtksQybah2DKxMa2bnfn2cx9rR7/QxeZrnbuGNhoyfLo+tjyFsOVrVth/a
O+aZXzukzdcmK2f49DdxiB6uHOnWhhF8j1HSRb66ksE5MhFBgzaGiFHC6z8KCzSCN5ogEfwveaXb
m2XMH/1d7zcZCWJxAwsFlY2aI+q4O4QLrqn9mPjgVLPbynOLvTdNnyYos/qUfgqt0j+aE4rWbY5n
+ISoLApBPArTdG82KSYcvfgUzDr+uTrW61Pf38U4Tu8gHabAIHqH8H3c7kO+HdZQlbVFuhEKrzHc
p1GBttKS00UM8Y0Fk4YoTG6H+W1f2mvBMvaMnsQGbd34OHfGrV5P772IUDkCWKwScuTNR+L1W7SZ
dzpqCAfEWM9Lgste5ZGRaKaIBWg6f5yaqFjPiYb8elR8T02LlIjXf9MEdhhLhWOGCV1rNbVIsNfD
Y+BpESq1w4d4QYwfA4972IfdMUTmZwfJB6XzbAYGpkX3ppmYZ7e182MBPQ07nhW6SNG6wAye/FC6
JyCAb5dhIVgNUUZrfGIqJL2JRiDL0/bo7yNM0W0h/WEwNt6XYYKEDFA7InZwLXEkXnsTuaMBmzVW
8fAms8RDDKNHe7axTHNnmr259vL0B3krsQ/9+anP5nswY+NTZhEeXUxt15UmHhgl7FAxIyFGymQD
T6M/GLg17OqKDwV8/tAtcKa58dPZKFKNQDraZWb4PZozLL8yLdvUASY+RZB/mKpuItQKFxYbgM+l
onouGsYJ0OoiByPYOavOZueJ3dKEOG002h3RErEKR+RN+nwAQmKn0/sxadqdbfUzxhr+GrU4/dar
7GqDligpNeZJXzPJFF5gWhFX77OdERFG8jzzefTWUX8ufYGAR2Ec0fTcCBF/T8MI0S8gIayHtNue
0J8+1zOytB5DNJQ9IrbRpxalEzIzo7sZqhqlngJ6J+6xWyPFooKL+e5aM/F7Q0dDCrcva/muF+aD
mwePReXephm/KQqjnzu//QQYdIV9zO1Y5qDaeW9RnW1OURLejWbkHYzMRXKVVxWXbuSzIxav+DTd
QMe3PyxuoO3mEqkVO9SOMKk+pHNy7G3t1DeTvoM9128yvK+NBHHFEVQEQbboY+n43zJDEuoEEExP
2NodIX3cMZK9O5P7yvQc5sIosq0dsTrs5/7BXwxti8q4w8xg/IZrusRHB8lhyWx8vo+Roz+PQKI3
lWZhpsxAQ6oTGOqHLs6WDTpOpGNd+7HA9XmObio/nLYufnbHJkVtiXkpPhTlwOUm0jDLjFeBjSN5
5R0azZgejNR/z4U+xHEIrx7t3tsEX7p4Do84s/xIZvNlqUIi1bW4Qc8F0TyBtnhoVps4Qu4NTXlE
Agx/1eW9RoxGaLd5MCIIn8VnYdY/q5IhohmINZaZoxH3Ic1rwk9AmxW+WuN+nezgPkGBczeJ+jZG
dxntusgh8I6VUI/Z7gz+ti/SR8NN3yHRgr7z0D3BCDXb6D4junSOpHW3m+PoYZfTcUwHFGZ1dBKN
FJfcxiOHS9ePyaVX69u6Iik8TO3zmBKIqe7jMp3XDjGWlTRwPDjoBJlpr916tvnFtj+bcxycm4DA
OGpzDEW89V2NeHqepg+jy1RGWCHC9My8sY0b+jTbuYv2ZSnaXdQXL1EYMxNfsAXLIpOj/OfIQ+sJ
8UHWD+gGVNHYH8j7nbUJYTUfV1NClvX3Ahn3Iz9EttaS+wq4sF9pzf9j78yW28a2bPtFyEC3AexX
EmAjduos2XpByLKFvu/x9XcAzpvOclRVVL1XxDlIkqIkmgI31l5rzjFJbaa7QwSUHYsLiQHIzUmP
Sght3ihJNW6GAkiZkQYSgTCxTAbUdJ0r9mlaTNOR3125lgbbsruvnarbaj74Rh1Tb5cT1z1YWr3J
1IhwtShmm6P25EAXu1XzHg7/iQb+t1h8gNvSTAol2T/qd2pTfBj/3OWSmO+GJn8ZTcZlfUYQKwfg
j4x+ICdQRK2HVaT9x92iQ6cLNSXXqfeQrGtuNZMhbSBf65foIjru0cnubDi6VVRtlKWUAGPBvIx8
9g2RKPU+NIMvY55+MQp12imymbwqofKqtBIyYhp+rA6C1dWy2gjWQzyOVMAOZdAh56+UVbRhbZMk
Z72JMCWEOjaZJSQ2XQ6aIJ8SQh8pccir86l/TwJl8gwdYN3Q9/v1YcgPWxzn/SHDhGQUFeEewQwY
YTlEqmhdYWTL6YVMyHH0H1M6N94vMT/KKHHs1V868VUsvh7apSrXFyki27rLaslYD+VSD2dlDpjY
koKRK1NUYzWMmGJSvfW+TP1pB5LvtmrrMxLB/lber16R39YRbcEn+TtzqeyHpEXMtyrvWbtCdYsm
70T+QjoW85WEq5MfmdqTMIoX0Ff9gasI6LNRZRbew4c1M/PZDPxtbDj3WOE4uQtNudHZ/9GFtP0h
7tinicgduuWMxvw2Hq/OcvBDknBSKGOpsKc7DLmqp9Xsj+awkxC2mQzvQ199i3LKJ836iIIJPwW0
ASC/ttiK5RQJo6LaE1tp3bQeN39OvZCH1ntXmOJMGxpgIRP+XJZsTTPychIlzanbhmbX1Pr7yJbL
Hpri8cylgalIVWwzpX7V2jh4thwFRl8Jm5XduLIxRS6+9L4FzolQcs3sP6fULy6t1hLhg+7PS5b9
omqA1jFFz0fa1upb2AX1bbAYco9qQZ5DLE6ceRA4Q5ZMK0JwvsmK2YLIKQLXVMLxosvpYUybC8pc
WvOzPBSpiO9N7afR1MnVrI5xzrSJ2aNF+y+uFyBCSWoVHJessYtdIydgMgu3Mp4J49SQGvSJ1rlN
MY4PGdMH3CLVpR8y9v+cMMyelXZbVkDaO3v0VHXOyDIiiGasHRdER32VEwH0XTE2uxLhxyYco/iC
OMbZqUP9k+SgEwA6f29v22puLy2yCoR05n0TOcXJSJmMxgo7mQymiymMYGtKluBA4jagvgdfoM4n
dkyg2x31ebIR2UOK1zFuN6iU53QX6zBqFAB0Sh+aXlGByZyg6SlSm+4HaX9FZHUfdqN2nGaIFEjo
H+KR1AknGd9rGbwp+WQQel7119wsQd/mykWoBoK/zvwRtTNhuqZKC5s91oOhjlwPxehmVC2Q2Kor
I+H0lIueeo54P7UtvMmGjT8YJGdoCSsVTBhgu4ZW3TKweHZ0w9x7FkibrsB0TmpHwqk5Zh/tEk48
kaGEwjeOr7rDGDLvUpDwVZAfei7SAwd2zdPZHpkBUFF4PawYElY0cn/Tr5MTsz0p+LumYozdsDMr
Nu++7pLw2cDjYcjvxCR01XFJZn3okL5c8WpQ5mxylpl9M09EEyQLd6gmKilhw6rTdDh0VfxaWGxk
56Q9A6JSEv/BDNTHii7NgR+bewDgK67yiDOU2t7nBcNY/m6eRsDGTY8alCC+f2bAanhTZt7ZWvOQ
qONwrnN7OK+32KKgUlJi1bWsmkBUdtSbnDKVfU+wJb1GHtj1XaCypO6UPvYxzCvNh4FEQptK0GYM
zrQ3tbti6ncm85WLjEGpoLsbdvHk+TEQXLWS7YZElTszqyxS1zrIwMG4ea0Sscfb8pE6qQpjkz2O
EsS3Tt7GdlAvqtZ/CUdffVTzb13L5wsx+67qM/VKsLjvsbomDFK/a+oMcNeqsRRDgsDNDygQiJPc
6HD/3ZEkgVuTBtnNAaZzTZvvxG2D3GyN+hi2dvDM6OBOSSvnWNX8iDQufgzaOe2x/QQ5mBIUuHiP
grq4wv3Zxz1N7bCu2lPRMpNH43ZGFjWTclcDiNeAkmTQYzx6Hd1BFMqPrrQnuFY2aKbcekmg9x2E
GT91iMVQzQkyRE3teV1om7l5DNAkMpkXw1WLM7b3U7IfF+U0wK2tWmTTHfRaTgQIHLg9tXszGoJL
J/SdUTTZfWioV65G3xrC+e5yCAKoH7VLVHAGtn636UpkxwuO0UO7jPDOTjASpmO5s235hYUmPWqT
fmQL/FGKOr1MANfc1rJHEpVbe3+cJWlqsU1wXDHoeLrDbpc6hB9kKoEfOmskZ8zXxGSzW/fthagm
7RYlUiPJqjdcusb4EzNFI6o1yVwZ4kot9fo2zkP3uHRTx0PaxfZHaw37trE8PlPNAUAEblnCcjmH
i32QfzcHFf5p1R9gimh3o/adEoOYWHBmi58USnuYH2cLhkjeATbLE0B/SjTuCX47yNT+GVO2fzGp
7qE9Z4hUFOuiibuwzKrDlE/vsZ0KcqT4KMGbGbdmQwRdW+r+l4TUJXGMIyu99hiuHyiv++2AJMSL
Bhxeigpzw9HlZzOD68ot8pHAyC3aQYEURWEg4hcU2KRtPVcLM3SeEBuFgIHEqAMnzhaSegSfrdEp
YGeLap75NraQoQZbXuvXtRRTW2abOYJPSFHNS5s6Swpqod2BIvhSsU6bbUc8cQG/cSyDYVN1pFRy
KTv3QRQgoQA6HKEZ9ynWUY1VR+E7EMVncZl1odH0UdwkmrN90KExq0HkZVP/aLf6S2rp7clQzJOM
u/YuTHVCLed6Y9tEUgBO8p+ZgDNrH97NYQ5PQ1qxPk0I29Qkym79XLoazOWLRDDCdMqh5oT9TdTF
TJjNKVeL+qI1V3LpSP6xfKBsTj89BYa9T5p4ONCKIv8HVh4OAOQxhHyG11RQe9uE3+wk29cKhn+N
9HTbldlnrcYwnhw5vIu6fIySMvNERe4N6R0tLCAf/UVi0NZUYiQmcXghpoWGg1TPAN59D85QeJwp
f7ZRhLk90Z/YSX32swqGqUHxxI6x2RLJ9ylbYvmYqRwHlIvqpERukGQm14xC84yWRkcH/wGgdDSe
uk7ZybomvVRz8i+Av8dbZ/g3y3xv47h7NTuwN8W8xAU5zYeTpKG2YZW8Km1IJ4p8x1PeTDsDi+dD
VasTcpCcdGrNRMaT1IprljVNzkZ7zLnQBVUmz0Efvk6ppEas4BkPsB43tl9UDIVJXOuXyF6uM+qF
zRHXwzEtvFDHm1h0sKgCofabWC5BjdpwKDWCmvPlhDWAkxBr4OElgQYuG2Wf5OVXtSJ4oxhiEh94
9WCtim0Ho9ftaZsd0tl/z4Ky/IJQmGGnwyK7YJmUatjPpRKAV84PQyM4x0AXb7VYYwPaOMVeOOCS
JbLcAdiei2Cx9zI1ENuWC40HOG1kZIFHNBl6DEMy709hDVucy7wCZ97QL9EKf6JTSyzTzIW0oJh3
MJIkWdzTXRfas0HuuWuNDSpJhjVsH6ruLoofCytfYjsHlGx9ox/CiAo1qYqrQ4xlWqP9ZbC9aYnz
O7ZJ+qApRMTJgT+ALVsAloHCFqiTXADYYhPaoXTHCKxaGITphcYEAjCpHPpKb07E4LY7s8Ff2odj
zCjI1o6tVXzogqJII7N77yvCJ8+ZlkRaacGBqmhnDAHvyNxEXjQjozL1vjwKUGNujPaPgKe5d+1B
gSwH3W+/vtHg1EGFa9NVqQg5NHz1BGxpo7E967kSzWhMzbhyDq2FADOy6weoJsgWiQOJUNxN1pti
SujlTvGspvF8EAHmmziQm37SYdBnkDPSWWOVRQzmj6Rhb7IOeiO1Mg3SJvlqVuO8h05rnH3Eoajs
su8tiagbfB32QfZqSj8yZ3Ji5OfIorjAwwRoeSRUuhiKnaaUCq1vJpbHxC7Vo0CwIIv4xjU5ODmt
n16szPRw+RfXFunVipEqYW9klQgefXqbIMd4p4av0aJ+cJK2JMLcqDzTAZef2pJNWqE8iji2T+vB
QSfNj6vjrWqY2U2UZbIzh4zlHDEGigin3kcYSi56ZOWANo9OFy3APeubEJ08QlUgEcWOv42cDyc2
9T0NfNaCwbBeM0LtiYhTiyvW6McSSCE5lEQdTexZPViIXkmq/GO+HEbZoFDoHmXPTjUf4/pWmS+l
LbuTKcDgs3kgo8BuifKrCuDXaVyd5kiLj4WEBZ+n2j0UwPFJnUPOdcDrbjSCsNNMTUf8DQk6bEr7
qHQk5ESquSsFA8t+rrHVONSukrULFZwf3yXZfBsbPr9FMX43+wpPI3/UKygkNLtTdJFBB9Ur1DR+
avcxjMJ8IK3PlVySn8gxQhmoXpWg0K7seY+zarOps5Kt2c8U5+nRLERzk5qT7uoSYEredDcahNVp
WESIbWAmqEsoGwWNWzJHuotTu5VicDFYRGdpmbh5IupjmbEIZ6nSXuTIjoWO073TchIZfZ1QZp67
GuiUTeswAupFKInxPAj9VNaVsySvRkfgpxk+axSbdiWTWzL1JIgH/V1KO7BJJEEKkmTdLENyhkoD
jVeBjhOTUqORRMcAU24g5dJkzhjxtHoceVqRG54gN4X1Q/K57q3PKK5/qjFoK5k738PJBobTZ9ei
JXRgiJtuW/lV54l6vtYGGuBZGsM2pDm9KZkPQwIf272ZcqmP2TbtCFVbGm5VuYuUcu9UtuaGetC9
ZLDPuyVy2bCZN8+TXe4nQOU4CYfwJNL2UXU6UryLltc6UqaXTvdc+tI508B9DjSuJakP+ZaIcOmB
MDniaiyaqjwiRzOO7Lk5OTp2b5Po9pmgt6vNVc11LYNAXzkP7Uh7ahBkHSiKYrpTI6h6OjpKldb8
NIKxIMKZ4DrQiYcF0GqQnLppuuY1t4pvUN7arT8N711HZeuMsbf+OzqnEntjtl9J/uQEjoL0MGhE
qjmkdoegnRm73Wb/xRrNYNcr1cwSaNEglkxuQWbUd0VrPpfJSTPV8aspuO4MtYlxVHS/ZnzrtO+P
ud/vxwK/ewYGnu/o5tLszZZeUrlMY7um8AhWqO4Wgh2YY+TKS6dMkV3KSoAxY+UsoEjOtqm9aBDW
+zERbQytFmIPINVJggE0rBZ92BBSvpsmxI9Wpl5kRj2xX8FD0Ek46yHw6tULt/oDqaGGg1bDl+0i
pAlq9k7QKrI1VTnI+hbXSBWCxck2LOgNNZU2QTOl3DaWBjoEd71bGb62ieMWGdxyCNP46rdttFdo
1dw1k9l75sjJnTHFOvn4hzaUNA98WOpNb1UvYh509ixRuGRMQqmPUy0g4S8gQVs6tDHI9ixPE58Q
O0ymY4rBjSb0DIJhsaDaC/ZDzlx59VlCuw/kFy1WShB7uBrQNKcbv2oYtEOs3bIFwVD+jydPLt+a
Lk2+348phh7jiii+/DGH9g2qpITdiFgIEOu/fL1VLASI33fXW3Y5xW5tMElie0gVDJsRggO3nH9u
rXehqAx3BXTMua2uYZUZ26yE+MDCnnorIphQRf9OYrAkGlMRbr9oPdeD4Op1XNjDK4J6dtjvbawF
SV2mTD7Xw3p31ilGoTrKjZmNOK+SiZTkWaUO4M1YXtG89DTp5y8yDKhXiBQSVme66gyNmVZQ8IJX
ZN/nhHtwdV9xlyjeL+ywik41Wful1CDNnYTT0sk43P1y5KKt/eXNTZZbOH/Frmnj2/pFBonjMbRf
fmO+V6hyi50Sxw7q5tW/vCplAsu5y4opp/tGqOZsVd97h6YZxN2eSBqkkb8PvVGcO12r9/0iqDTA
UCxhLnSEGQ5qnjRiQsmJUfmFlx/Ne9NJtN3/CcT+JwIxJnr/rT7M/YlG573++W+F2K/v+f/OSAHI
Dp0XEjDaUtDq0DL+LRCzBaZJtq6OJVlOLR3P4t/6MEP+hfhRF7Y0TNoUhsY3/a0PM5y/TFPT0H4i
N4NuCePuD3DdfweyQ1f2H+VhYCYFvVwYk6hVcXBaf8rD4j6MtZk8VPbjlotm9m7W4Ng7nJ3rRzTK
ROOhPCRvhms6yInlTIMykB+Y6dE7JCgYEj8ZQkKjfIgVEkpiU2Al7gp3SuyK6hB8z45eUouIC7UC
c1BP5XOCnafX3aFgV9xk9ZacxTNXCWWnBG+OVS5dvtZiGba6U+SAMDEUag2tCt9ViJn7xkYaS6zG
EcU+xjiiXBPLzUNam2J2AuI6ip/4l+a92Sxydf6J2wSIXJ83X81RXIulG6dhYOjSN/p8tH3JOBnH
qnWnCUaZ5AM8GfQkk9C/Oqh+mN3lCf1K1fb8GmfJ7Ks09cTex/T1VMS0wANsN0on2m3vh/PJmoJ9
Ppv70o6qS60JH3o9cvAMvkWnzgdbbYkpbJJ7PQjeLD/VnpyIsiVxzixP9R2x2NpWZZZe4BNVsMlw
SavxhMCsAloOCGGsFmNIoH6bVSaSOR4HWg9Pw6CXHhiR5AkO8LeIyLP0YtTWknfZhF5NO32mSbml
7XTV0E/AbpVbDOCNq2cTe/8meusKLwoU3YuTOqHDtEDxo5ZMy8HLEMPugATAH213nEOfyYAlwihZ
rwjMflqNK5bG336n6u1LptPcnEdkuSR7Msi0MM0GPwRB0Bsm+HQzQ/2h7vUHkXSUzcS5k10Q0l3o
i83uFib6lUsJKfFB8kl3zU3tu7lX6fZoBbqMiLAq03r2fYabdmMR3lZPIECjeUej9IdW0LsS1WS7
iQWyQcR08vhFhGypm8imWV+gXu50/SFXFhq8ffb77qL5mHLDMX/q8WORsKk6W+AB23FAPJEmxJti
QDginXvQnexcTNlZqN/rMrsvK/wniOnAuPgJ+U/8UcB5v2F1PE4lcnwFVBDmQMOA7Z+8VQL5sA2X
HNmFZzt5+kIExxYXYdaOeEPD0PUx3ZJsoRw6FYtaFOUkuNxoR99IFfd8G18FsSnPvGK6aqIlXpgQ
rxLE3i7riUaglCs3HYE7MCoORqCUXkbqQN1hLeyRHdFrQv5S9uOhGAZzZ1VE3pU1+QnKMDKKS5BB
UENro0FiaZ6WW7sikJfAoGO0jIWQ1W3ytkVhoWafsYNfkhDagZTWQmo331Tu2gACc1fbKNSdp65u
hhsg6zODwb09l0+WMrWPZN3uZF/RUqjDFwPl4ThEn5pODHyGNW4QB3zKMHpFW+FElod4eprwi3jp
iO/ITFB9hxc7tWrAyP62QJyyb4lKJSG9JMkW9rDlJ1TKBkqPOFOxkVYVuHy6Xk3CUpPUfXQsv9ep
IFnwaqRheycN5YpBONyVy9qmRDOFux/Erq+9EoZX7AK1f2TixkAZMEKP5wqSNm239q5hMKfZdAx8
C0GjqRAuMFjVQ0X/92zMy5gaI8GmasmaD4289vKoNPdZEeQbjdnT3KePTiXNA+YqWntTs/MTJK92
hwzLDNWb7Ge589EVVV2xJSTtqQirGedl/tTQy2Kjln2msa/t2znId1OofdgRGah4cIYnv4kP/YTf
D/gDw7tAavd2RSKQnIZrPz3oRnyiqbbqFIhnzVDz+epHjDbKzXTxMuv5E1IJchF1mHqi862TZeb2
KR4RZebW5PVOFuyCEhAi89HuVOqLVI4XYFRtfUJBRHDZAA6tVeYffUIjk3msMY0v9PEJS9FiuITC
2RtB2x6mLnqwx2bcS62AQuM7XDfs2jrp6FGOZRe4mA3qZeHXtbGDj4Wks0iB1mSq2h7mIjqZANu2
iR8vtv0qOYuUyI1gCo+p0++LZCC93RnocTmso3AB58X9XG9zX+/ZkTSfuo1rehX/gopTThHZdfug
1++VtU/YR1gclRxNAtXzKUw7FQcZv07Bk3rIh/na4q0/KHVxMcaJXFctEy5vBd0r3BQhe+GFNf8q
CUne43uU1PZVeSDh8FLEqtjE+UQHDjy2G7XkK66vol50yOutav5ECWH/UiZjSRkPnGin9VXmYULj
uWPfgT4pm7HGEJMmcM6sN6vIOjrti5BoCQPLeC6YybpKFx4mfAZQNQndWhgpMAnWCtKyGwMhIbVk
vth0TGXCnxkLFSJQ/5kJtIWM3gBuxV/7lEd9i4C/ilSmWie5WmXWiZQnYcA3E8RNoRrAVztqzPhw
DY37QZkv1ciE7v8K0P9JAapT6lH9/dcOBeY/zfK/soz+XYT+/X1/V6GO85emUjY6nHMMC9FJ/FOF
Su0veO6CGvNf9SdF6wLsoDjlt0smA7/rT/UvND22JqVuwvq2hfO/qT91XfvT8CKFgMzMK7MMg9DI
P8M+IHBUZN40XCn7Ai7A0L51pnUlhV1uTWIm7hyuEVLpSSwFDnlYfNQBgl4++aF6qHWdqrSMubJO
9+y925OU841MloLIofKdhSrBwdz9HDOW1IIdOr25pdMdDJ99oeP9nMpbascF7lbMzE1OeIFBMnYw
7Se7pl+i9Fcj/kqnhUx3vfhV06g1CcJDSHujNT7hzM5kHwUnWp3pSdx3wTR7atm8ZRWjo7GrbMIN
OwP96ybsPoIQCVrrmE8WgfHbOjIT1whAiqGK2g2qPx+yvt2PXZnswfvD4nUi5WBphbwx+BsxNdNY
iaFNSy6l10QRyf3IaHRrzn0D/R2P7ExY3h1l+IdSa8t4uDWe29aISLnxv4VGHF0lIrSr7QeR22oq
AXmjP51je14TKGAvR2RPZIYZecDjda+OFcBcEk+ytAP1kIxN59aRzYurKCiFER4cv6P1NaUtCIbs
gmOq2YqkvyDorA+45veZHw33aTg/ORZ9MWCZyZOjfh97YjnDvP9ZA5GYG//bYLLIZhJDigJedz/F
hKyTgVtFVHVD0ZD1NzoZFZ3+kvuO6SIbeNZKjMbMWPhBBeIPZbK3hd8voTX9yRmG8X51p1NWTfti
TOgnIMUUs5KepVaRlMgPNhzF8CIo5QZdsfXZUxteySiRpzF6zPz05PhmdUcX3UHVNd6jnRZbR5XQ
KnwASROkP/LTFHnA0A5FSq/3jsE/kr3cHaJVxjlsWpCSRx+Y97nwLgc1HP4+NCG9qN9316+uz1sf
+8/url/wzVjd0y4+r/cUdojbrGdiWscd+4c/fsf688r1K+vNOTPlrgqsx9+/d30ZJuJioBPda2UQ
KfD7Vfx+KdDgsLe3lUFMB/+C//Llrd+7ftVMoJOhBg8363f8/sJ6N4gDSv315r9e369nKvOLILuG
2Nol/fD3E/91c33i+mvmhoBFkC/bUWfQwNxQJZiEQ0MympvO9BGtYWKYEjC7NPtMuv3iBCDBPIE/
Oz7n2dlK+uRfB2UyuX7rKY8tuqggxfKCGTA5jwNALmQ0djV8W79nfbRzyE00HH32SMS8E0PzipST
jG1dD2rXiEHTTTh0FQSgY0GWqORU0tRMwe47KOf1lhFmjsd2ksElzaRTaoNFkcN8rGOdoDN4Fjnb
2I2KhnOZA0k6D2dlORDCrp9xvgdoIt2mS1+XLsJ+/bre6tbBbvqzbyvTKVcEb7Wl0+wtB/McBJZJ
65pbbYoFtZkmZiUb2dBiZGJmnmc9FkRKKP3WZyfn/n4M7ItndPQUx+UZU+1/1DJ03DQxGHYN1qlc
LK/hYp5laFYw+eF9x19qFG5cMuEkQjaXMeJL5n9lIwh4XKZc67PWg2ql2q+7hkNCbDkkX3XLKFg8
ab/4VbY3MmCewNowstiIxxcTbaPz/0mtDkwfibcMDLJV8o+EzdgGOlC2y1WtvMCzfclL6BF1Bf+w
qdjqTXiHPbVTB4g5BTNpyx7PUxw6e5kVz2vqRLFET4yxDpZHqyVTCZ6h1/dDPxunjJV+6Yxcw/to
oI5TfHJh1L4QR3r5x3DKw3O8HHoMC3d4YRAVCs2jx+k6jcHux+YHwqlZpHAJNWT+ZgFJOM/+Xh0Y
ydbkKO8G/NRn4j/ms4rH/tzEWXKcSxz1Mw+tj+MSrVDpOjGTBR6Ll5N+vfW9MpFGOsV5So+D4oS7
KECbayxD5lwOXQs/SL/lDISPgJ2srerUOy2iG9/3dXr2Ja8kmBW2EfoikHiiH7tJWDfO08jEbsqG
g1lAjXeFTAwvLxfxOgKbfWmIl/XEgv0y7qyl01qTXXypTHbsc4MxrCHdE/s8d02laXaTiW24V6fs
gnSncAe7ICGtbrZW48N2jYMHFEb3NGdar7Ad3y2Sni1c0OBLiEtiztk1oUbBYE/Sl3azRbYvDCN9
jZScna8f33Qr1BDA41z6xUsPFz3uuIAHQZJgzkFFtaVh0+/moVS9qjXgm6/KkN9y3V8P/r6/fuMv
xvL6zD+evt7V+fPspNHd1l9t6y1Ejwjj3x/f8K8f/esmAaFfGl9HSv77lay/b/31M6npsI4Hv0Rx
B9zzXy/iX8+vc1wpekAY9i9esrLMBdaDs6LD/7mbLHOFPx5bn9f1Zrg3zZAMgb2+Bof6qrXLA/tq
dJWnsLv1Cj/mA2d9r/LgOwS1ylWz6rs122942PpLx3iEWNEI6+f8VZAOPvK+HtPR4gNEzA46SKG7
Y2zuTV0Dw8Z23S1Hi+/QmUq1Jv2AmaZVQzIqbB/tVZH10dJD8Faza85LEnjI5ETY5WNv5Qcg74+t
NkC3wpeJMii80fDQusR0E2FEbkn7cWP02UYJ6F5ZQUa6pFOgQQJpcMxScRaR3x4W+i2qDldD+xM3
A0WaUx0hK7noRCzk9fz4AkYEeKLSE4H+dcjjwsXxaQMq8TJMARcb0vS2aptnjaFm7r+GfUfLDgLH
wSqMyR0Y4QMHca4oDHZJgpMizJS3rCRGGiYMnJnROVQ0vNyG5qlbNDMJbjAgz13GpZaFkABlVHxa
gQooRstGrvwSXSePBUfyseZoKwofV1m4lCgi8vyK4QNhytDe4O/oGGK3hPXqFJJLoBdDJhPhjKdV
AE6KGUGY07SMGkHQu1EzvKYaFZiP4HKbGPaDwt+hjmgp+PZqDQhorIgGgGcY8iYM6XsJmZS4tX0X
hLDcjB+RQFCYqU+WhmIzMEtYBYa617PmqxXAA7N8JmURVPRkkvLOTxHclnWSYvJT5JZp33MJTmuL
3ajctbP1Fsw9rUMVk87A6UktZt0zQ83O8MTf8he7Sy13Tks2mwVjbLX72tD/IerI/j7Yau3pY+km
LT2iEk6XIQn8cgYi5fRBoagYoRuo6DpR3L3pahy68mI7w31pl7TZOrlq97bzkBz6AXVPGgvULO0r
ce4/UWgfbMa7ru2jiok6iDmzceAdMy51jgRTPYHMSy8tp2MbSdUdBsmmIQUYUNCBSwVsWnL9vhCY
HsolEbr4tM1aw8TRqaeJLuhAIiyILHeJ16pFT1Rp1hKzZ51VeCHoMVIchryDBtmlLdwZ2FE9fM5a
noyoP5r6mnZuvI3zNNHyRJYYJvUlGjiXHMs/2HRbNgLzyQZB+q1W+iey++wesSEGHcrnWdRYhCR/
KXNZk+UXGSqdV9Ev35Jtv3FwHwLKB4Fg8ERVOAVJCZlCwFNOamswnpPBNjaxJZHO8F8yoDU9+KJB
rTHjmo+UHxz6WjUOHRyWsLMisjeULSyRSzDllct4tybcDgdfcbMnXqPoD03ONJzJhbnLgrjD/M0c
N/GQfVFlp8BGDaLUCad+kaL9YhnR+2gtgpc0CdzM0kke7K4VlImN0rKsiAgq2xppaFmpQptfkECo
kAHXGC9xgm+6Z7DoBfViuNskFt0qOdMzogrbi9wwtn7GHrAJAvMUJzdLS/CMIztGBkIwdEmzaDSJ
iq4jNBVkI/hdqiKaHb+SMFh5ztBew8h2zt1YfnPa/CYI/vLatA2ZY7f6wRql8j6GNTIxwoRxCulI
BnndcdkYW1FlEd33Af5fqO5EkLyI1FY8PSwIAS+R6+mS96ebJm8yYmUv0zraqWrI1JOcFy/3m8tS
4qQBfkG6ZPvcTkk5QRV6hwGe/L5Fu4stz+1K5TILl4hacB9Kv8OrrbjtgBCIMO9T0fVemdqcjwrT
kX6iJWRpdrHJA5wPVPI5rJAtKWMBocWW4siDYA1RYj06FyD7KXkp5XO9pK1Vy6Ojfuq+7R8iOyOn
PKAtSgbxIpGLMTMQb9ggFgp1bZ83abZDjoFIgL9GLAZGQFH5IxDnuP3uGNg7zBF0YB6Nb+xYx43d
a2SToMnaOGGhLaWdf5jhz21NHy9nbPSXGqiczuTcVUyLn9qoxkXrCJCUVn9s4UFvhmR4DGdwNn0t
thEReHhBWfFW430LKhnrQuulfnrnUD/NQYVgOjBDTzFbJLCYeZCFIGGpHRthhfkj6Ba/ELwe3vRN
cJ9ZuX/yp8BhnGB+hrQwaBRH3cGIu+0QWnesVAOsuG9GXaOAD9mmK+abjp4Kmo/HBjlkaa6+1TkX
JbNtP8vF1sb4iSugyRgtXLajoT5cQgU/IrkRz7XdsrPIsnujXzzbavbha1wBJXYIrSaLneZhfBjy
flvAf8Z+9RBI5WgQGGCmA2DPvnMLiQ6mgxoFdM1EuZKrV86Cs+FkNzVy0EomF6TzwdBdVHfE37xE
jW5ICUGkxHKimt+gA7zglD3MtH83S65TnAYIInprn1sD6eD5Y8nOsxI+akpRFm6JcjdICI/XgD5C
uY69KbfezAwoY9EzEdAIoZThhx4XhduZQ7uVVXTy7SrfqsDRXILLK2SpQ2fdN02/7RT8eHWMohoP
XLm7x5JreA6K+dxRH5Kcjx8O6wG4T/MjzYPDEKXmvh3Fh4UT6NFUfjpZf+iaQD6OiwR0ZjdkgXwz
Ku1Qiv5rHVNYOFgydODrYxa85x2nF6Y1eswh+gK2OAWSOb008akiT5n0OnPnMvo5VOY3q6VvwiIy
buOS0RFCM1ze/ikt6GsR9cEfUUHh5yDo4MKYk9nJsluK4r1FLbUtrC7aFnH4zY7Eu5FH/sYYaWzp
Rv4coraKg//H3pkst41FW/Zfalx4AeBe4AIVUROCrUiK6iV7gpAtG33f4+trQflepC277Hrzmigl
OUWQaG5zzt5rP5bZ/BbOJVwyCWm6s52X2V7UaKG29835UhRcV2I0vIBtgxdZwOJIhiAcc4r3TUsZ
YbyL8AAbQf7Vzkkli5FLlbyqtp/0/HNbQVmzoBx5fl+g+ayveyeODk3Yz+ssAehWyWm+7n1o63pS
fM6p0eR6cjcN+WcgbPE+Im4EvQvRf1NtUYkLHp04e09fsdcmwI6VrJmgjZjdKRGYOLItTJSRS7R3
FexA9mzzwToLt9cpSWvF1rX6bWXb1dYNoi3kLcYPvfbcIok2dTM/FzldMQwOnCO98YjSdS8TVMKG
tMdjr5J9JBLbkwMotap25x1QUHfd1P6Nm46XafhuibbejpmWe0ObyC0d2BhWevhMrA3xGrW8zzv9
aQprsXPIIG5jmolpIY6BuLKEPhw+J8kMLd+uOc21tFiDHs1xyI+jSeV+ktULgLgUXZj6prXFt4Cg
XUTzmE7LMMK42xS0CjKzIErounDlcJkySh2a63t2Idl9hk50kM5Blo6zdwJybH0HxB4L3vZU38bN
rKP+iuGzOMV8g1/zuq0wsKrKmdZFOdvHqgwf9wI3cWlvSJoRB22IbyIZGBsdFClWjWXLrqxdQakD
ZSo9QeZJn/W1vzeVDC6DEOuk7Gm+1fZ91MnvJsQsaPiBxcA20djMCUtxY73B4+MVifElZNHUEaa7
KVVtbeNKOauUTel2FclxPnewBCue/qtINtQd+OhTTDOhU8+J77K6NjNSTeaG9bQ4GWmyzhzLIm6g
RlCdDdHBMcQZpsJjvnR40QDA43PTcK3s7JNmTfctoVjMtBXcZLf+RDGctNkGjuhWJubXjsrM2jLn
6ID4+WmYqmM9I9w3auF4ln5JEYBCZs6ZdbtFvM+kqAVnSALXfdNPntJqFtZWITeiJI/FsfZd7Ber
YHbX02gHuC6mbmWRSbzqq5veDO90V2ZrB4GXB4jiQQ9OtpH3V6TS4lNejGN0vbzM1CwP3Sqs48xl
8wIO2Adaj46ye25gJBsE3XIp2OH4ln1NI9xCeBxf7ExXVIEbLyEulNjCo5W1ZwNiM/Xx7sx5ksjY
L2Yoza3dOs/T2FjrERNE6Q53SSmfKoHYMW3dnoTz5C41OsSo5QT1a2NEg78KP6OKpDWNGmudxNUO
S7hPaQOt5XAXxb6zL7XwrCOuPM5dbK9Xpcziq8bZTYm5RVOVHzplDlsk/N3Krq1DZfTxddfl+IhG
jHiMFmVJHnYgfLFvqPKH26E3X9ygij1/yMJNKczrMdfx2y6tK1kEDoJj8620NXVkE7SSPsX/smaV
PFuYGstDPfJyKiwJDqd1kPmljZvafeqpXT/bYVtejYgqYAiuUHznbyK9x82C3zgInB2hNHeRWUab
qVbkIzA5rMvgW1Z2wwmL2IBKkwTjclzrKrM2DvH0KEPSaDMA6OEq5tm2yKP9mDEpEk/PqmgpYbV7
hzo5caap7SWsiXGQwmy1XVz0xLwSlYDQjaHDr/rE60OzZ+lyCZQ8J7HTb7mTrYM/Dg9m3GN3hkTu
TxoSX1d7UG7QrOECsJluDkWQsXbtWB21hwEUJVrmo1OELexYP2NqNU+YT7FXNxKlQFMb7KABnVaS
EmngzORfqPkg2+C7r/fpPsrVmpEc7c+C0UCJzOJjdq/oBZJObjMG98yFG7dLRg+7BaDwon1AtGkS
nsGmB7yTccz6+kCvgTaFrrEvVODx2m5bTfGDQeYrU3h7R+RgsAl6GAlNZ1OLg0a34r32qCTWDTZ1
fJpXfdfkWxVNLIJzJ1il3FCGKPfKREBIct20UZHMNtNQMgUSCOtNRK308AfoSUYehgN95RjWN6Wb
0bEcgk84wp1FhNyGMsbVbn1u04LxI+3ZYoBwiJR6nYIyxd2Ay2dQw74jQdel3uwFTQylsEDmTkwZ
wF7F1oaY9Wke9uScPQDu09ZGh0etbHVzazH0l3pGNPjIUiV3ngK/7jjHOdUaV6sA6LF51iEZJMCI
QZSEt6UxH1i/0TzS9Qqd+mdBydponuqUjqxEIXWeI23iEr0kEzL1oNa+1BQpDH0U1L2rasOOBK43
bNxK3WmAFnhaLExvY0kZcPIpQ8hv7hw8kXiVrbNwTGgnYe41xfBaANnahnr8BPAuiNvgDLakuInS
pALsSqJ5Xj/lADCZTyjkKC3dtrLaWqnO/LFgSXCHOHjZdX+H1/ZBoAXejC3LUlPPnxtBDXgeQYIk
8xtbwdkyQWLSNConEky5YtS4Y+b5G6ymG6vFmYr+Mlx1rn0rq/h7MspLn/UPtTaojbJpeRgtGBie
ypgNV78Rr40/ZjutgsVgR2xIZ2ET7jxFDyk7s4Mh3TusFVc57enIMc+17sc7+n84+ulTx9ETRaNs
S3PyiaooREHZ3uFPsT3qkeRRwSfIU3k1tEF0HNQq+QKTd7nVJFaQYaJNJ3x3G6FBiDuo3F0od6M2
75HudatWwycC/znbkCQLchQX5xDLp8HGjDNZuGdsErDnAZlLqxFHUzm6V331gx4O6HDv9AMgrfHN
mjvQ2JN2BeTgxR8BOecFCuVQIJNvfPc7cMZxW1bW51mkxp5pE0pA2kyAr/sLt0W7ySYUIY7IS5Bk
Qeg1y+yIu+ZGpzFLls+XFAJp7ZQPotejbeQ3I/5Gg1J0cqvr8mFIR26vpsmo2avnykxoQsp8WmXG
RukBe+D5iyFxbKFKw0fkGqzY2CoGiA6IIMk3qbTj0wQbRSHm8IahuJTcIjzXBCymAxlopUhfaiHK
TVjCPGGyhSNmEj5JjUXzqtx191lXEn6Q+VeBmg6iViyt9XUcSCRl6qFOu0uqmSgOcUDnDu54Y0KY
RMI8oXYNsd1qrQVNutey+775gpl2OFZCfM7afFOO9F6NCES3wIJ8sMc31pjxvbLpNloQN2cHS2lf
UwUsXTblwwYd4SbBr7IXgGupOg70gNO+Wbqi32ac4goh4rWpWJFXTUPlJb8xXRrPIQILLIao13HM
eaXTO9cghY29tUTApbqAHdOBXK7TtzahBY6Xyl8Twk6TsfNpXLG8JCkPr92odUiDGdDWWguO2g7y
dT0X2TaZg7NuT/WhqFkfGoOzg/y64wFaGQuLyE2j6KCFOXgoGe2TNOLWqKbHqQWPTb8+3U61c2ij
KiYQMSY/G1n9QNbgLux4x4U1Q8zJDfBI2rmJe7oqdYZvpzlNOcVDnK/FTlE6vhI91ZdGPBf+YG3G
3KL/YNcLiIkRgvZ4B0eq1YYbLTLUnieGqkGb3GL3Zc4coBJ3A3a1JtO2oHgxjwi33RWGe9Om+id0
tb1nhGDQ+8I9CfsxjdxplTbL9ihehGl6t2Z82iH7emVndUYDbs6acxkqF5BQ6VMW1D63JbWwnkrB
bnIQowtwA5odBt6IbBBBut1vi1A3gNte9/lbNGHzsoaD2TBvNgI+UN+ZTCfya2R32Tos7kV6M3QT
obi+xnrWD9C2akptNNAaXmUh6taoMmjanYPBrpHsQw2iKcHTrCkCUTfXbxyqpbtcc3NuqIFFfSrO
EbpGpWrcey3YhCmt12U/KwhZJJZ0IbWBEZEb5c6+swoyHoxbgnRQ16bTqhxVf4hSSApOla9LNL9r
Kyo8XcdJovUs0cdoI6L8dk7MV3pT5kodzGIat1ktC/ahEVXowSK+Cl1j6AZ3jM3fVYjrgcppiLDR
XPIiBQJY4xAhyr+JsuJEGjU2niA/5V1w1fhadjDmpN6bor+h89/QxcGLH8cGqwYfUMMEUu/QVwnP
Yu6e9bF/DoEnb+Y24QQnnbPp29Gmkh4+sRIRa5Ob2tR1L6zS6DA3lFQnjTQOxHKN7F/ADe00vR9u
okammNVbaEZ6MXkjDl3Pr1W3KxwI/YOGLYL2QLdjFqf82YyvcLs/05DYt2RLcH806B3eEenmyRID
gFW8Ed3SJ3p3jrx7SKz3bMB/f37/rl4Qiv/+7v1PnGDJRnz/m/ef/3Wg/Pu7iC62N1so/97/GAQZ
2Z7kLKZbzTHvf3iZf47625d0UpGjwWrM9T//0/urMxvShP73QP/8pYrzY4u3lFXawJ7S99F4LwTI
D+/vn9fJW+NEqLq7/eFl67o7smeKdh9f+f3nf/7H90/SONZrOPj95v2lQ0pPnIrlRP7zhwuR7t8T
9/47QpZDT+X+5L3/+O8Z1S0j3xEAdoSw/ejD6qLbSK0yisvPKaiWdajbxRpxDX7nrg+XJAx2LiBp
xGia7CQTJl3TMNbkhOzR3me317awdcyEpnuIRbyzdWmsAxJAWbF1jykjXNyaJGUGX9nyky5axNWK
KXbYxPbEME/k3uDSvjdbUhG6eD3CbVpBb350O5zuAj2LFd+l/Zc+zXUEJlmLcjK51kk1W2WgrFeT
puCaBSe4+Me+ir8uLYx60pa1QnkuxfyaNITxwp88DabcuWhJViwxlLVFgQi0eWS8n3H1ijgY1hCi
YLEt2tDMv9FxkqOaRCEgrIi7fghWzlwqjwcWs9TFBsZGr6hDggyiOnav6irMNpGQLWr5HXExWHvT
8DxGBGzYNm6iMjOPQ5t9mWtOb0GLS5SL8WzMqRg2j22OnSlIaNcoblqQZeOBiW2vlc6OQhoQB3t6
FdTypkF7QaejkaAwnpDmeGC52Pc6xABYUb0rk2bYhKHYWs30CVkOO4d2CyEUZroWbyWxChhOa1rm
snzKUvutGMS47qvpbcCJyAZRMnAL5LwxOlUW2W2G/RIelflQwF6gV59QBCT8ZF08d2Dm5nEOUZ5u
TFMnMkaLrP2AAWiTG4AGnZoGehzNUHVcZ1fpJa+XHH0/MtbQASFgIIL2OqhY6z5lu4G/GIMx/uMV
LKWXajBJZ5DJw+CzrrBLonlcxPhEWFBIA3Kh11/AynXpl4lJbaMh8di2Obh4AnxOChd4JK37Jdem
GutgayL9RcWZXzOMbdwR8YLVapoXZxAm7Mq90mf/tmx8ix7ZXGzGxn4aSC8fndz2ckgb23ba8q+0
mdx6XrldcWln96mZyysraV+zMbqZJ7qWMuw+6WOHS98gyMpvldq+a57skmiOH9SHv4F3m6gTfyJY
0y7Cly+kIwVLJXR9/PvX1zuW3c3//h/G/wx9OaVRR3FqghKwynrNvQLqjk3DSG+I0Ih3kfQfLGj1
Gy3LTfozob8lK9jeZV2BzlYcoBTt6KEYRHQF3dHINPdWjhPRTCq7QLPbFKq5ZygI/vLGjcXq8iN6
e3njts7tIBxLkDT44Y3PUV7bEzVa4AVOciD1D7kG5bzVqOicdVgN100Mkht4wsWKw+hqEm7xt/fw
m5NH/cMWxiKFdFjl/XzyyCqP7THMogNijelSpuYhMeIQ03GPY2PGHECwGLGK7A60iiVDp1/ZlznM
y09/vojiY14a5wKpqHTxNusO3qVFtfnDRUyIrYUDrYJDVyLkDp1aHjo8IA1xW2vwaC/9HBQ72HcP
hhOQ4Z4Y4x62HiEj8lD6jXbu3bY6saAnusAZzgGCGeYromRDIxw2EkgonT1hnH2yBHxpXZFeDv9J
a0yvVPTDa42edA5ralNExqvt9P1+BHmVuIU6vX+Jlu/adH7588f+zb2rTDxXhlKGA2xFLZfnh4/d
keoWtn0YQKM2M29oymITQ/DcGIHC7216oZzrU08QIkQuHP1mecjGnP5+OrNsH095Fiw4tEHuDSvr
D74EhdsHIXkUpd/vYHOa+84c7ju/EP/fn/ft/0UebRj6kg7wf5dHb9Oijt5ef5RG/+ff/Jc0Wv8P
RJkOMRQWiPZFBP2f9jxH/QdRhvaiTjYN3RVLpuB/+fMM9NEkNTi2idvJkouc+j/9eQv03RS0RR3d
VownrvXf0kd/oLdL1xYA3KVhAYlHCbYYAX+8IYNh1GenLLq9laTtusrqCBpsgQ6nrC4t1oy1Ta9w
F2VacsK5xJBpolssWGjH5Y0sAcmY4HC1NsEoVtbkd1p1flrMQ1UasKPo8ubQGv25scBY1HqO1T7s
/5amwLn4cVhFQC4dEiGxKi7jGdFnP3+EqqIU3s+48dFG1riWSGbTMsZ9hnjawpQ558qk0qPeUASk
/80kh38O7hKVoSspuSQfDl6LuIfPbLXo/4Ck9cWuSgVYJfiyeOCor/jBpbRhSCeUGX229f/kKnwd
/1fwrfjNZPhxTnk/PpfNFTYjii0/ToYzAONyoqC0y5zmRsiBgsNAiHuTA01RgUa7/VBFmN2iDDii
xbLxh3v9d8f/cP/8c3w+veT2NuH/f/j8Y0+rEYFKu7MQzHtx3d8FNdY5MVkGAkKEQ0K0GG6c6GtN
OIo3MOxjsNuhUMjxyqxEWWt/OSW/f0dMLsvDZTDP/Hw7tKQg+aJs251WoHIwoNexJJPV6S8f/MME
xgdnm2oQW+tI1B4s9X8+TBM4oukr5ORIF3GiOjTT6tGOn0p/8BI4wVd6kPvXc7PwpnoDWQrFCVWD
xklVZZ5KgRoO7ZoNakQ6/72Ij/e3ZjA+mMIwuSWXyIgfn2mr6k0RGmzym+oNMT6Zelr4lZLHikD7
hwiNlmf7tIv+fEJ+Pe2WaWLlsEhAlQaj1s8H9UNysJBNdDtsSBZmKJcKtQ4b789H+d1ZN6Xpug4c
cUwly7//MH/qTmPGBkg6XEq0rGaHj1EXNjmbwqj+ch8td+4Pq7X3s/jjoT5cYFvqQRVYKbv7iZDB
jpZU0MVvZZxQ6FYUESdyJ6NwOv/5A4oPfun3wzrKsS3yOfC/fByQpzAhSmrggTaV3gH9b/O9m+nH
Fj3LFi+WXPXuJYzptpXl8NAqiYgByhpDA21dTSXsJ2BaDWh1tME2qcYpn/dtAhtm3HU6Sr7TmJwq
a9QXFFK/8bXoew0RYqf55tmfsI3kdfC9IWx0PyX0gSh7BImFOmNCbkNDNWhvjU77LNEs7P/yyZcT
+uGEQ8hawkxYmJq/3LZs02yzaHlwU5MACmOMboF0CZQEfCpUJ7ctKvZq6LWN6t2HJsUgE0sEEnmv
1uNIm8jO79MGDym6K9BeCo65UwxrMUF0DCKazdBvoQz2+qqpcTqnFtgoNe8p0q6qCuv3bIqTZcr4
PDZfowzNVeAM+t5/YbsW4y3pTpoZP//5IxvGr3MXjXrmrmWwYkVsfnhUYze1kxkMzI74tWzTdTMx
TPG3sSB3qBke5xh/0dw5GkB4awQyxenQrO+T21zrbbQt5xgcWPGWJ/xX1z+BPkIkVhqfQn822Iyj
4XIteNvU8zzR2ttApOrB7fy9q3+JEW8/ZmNLPBpix5VWUYA0Gc3aHrGE9HUK4m12zFwEG53Gv8k4
ux1759Ytyse2OxkJTJUcfiamlLPZ6lg4kR+Mx3gGYyRCRalkAG7W9bdBOTw6/TEZybcrMvbVhbzX
devRsdL7OrasvYuTygMptGl7B+ctLsKE0k0ttWULWYp1YdK4g3DyxCbbMUpiHMkBdIJH/EY3neov
WNBXaYT52ZmGr1NpUqLGvMOKuqKjgJlUAel3bhSNlgy6V9k9sDFqvUFrL8EQHZMG+sxYPlYRJJ9J
QtAo+vRK6hXsD6qHq8mqgTP12p1RQOMv3K9hbX0tVE33+wGmKiRDGiNwdB/kLF8U0pwl+/2QseMh
GJe+XUsbEMpi92gHTo99CM1okWF5YryiLVy3lzSc/nJX/TpwIU1g1cpQzPLulz3G2ARWZw08R51s
t2U27pw+0TwjGh/8ERYBKZ1IvZDS/fle/u1RLWZdQF9qmQh+HpndmrvDBXtK5fSpEcNtV6TfO9Kf
x1l7rGXynLj2y5+P+Ju1jwPBwsEriFvQluaHKQftVE+JomPtJYED0+1jbIvva61tNvUrTaJ54+pH
vaVvUFrzzZ8P/uuDC+jZXJbnLrQ48Z6K9MNEFHTY7Ye+4OOq4qWsTeippnaAdqhtyxbkbLtX2hvd
xOwvp9kQv4ySHFjaDutcgRT24w4y06mFtwPnWXbqGssFzcks65F1TeOBILlXtKm2Byy5JdVuvm4Y
PGmup692/xRbnfG3d/PrrM+7cQzDgSViEMP+4aoTxjwbduk20C1YBeH5JLMHYRiCAQqUzsSTOTTG
dUOIIOlixQXzzBoDACKncHgobDPf0d5d//nKmL+7NKyH8X0bCG0gn/x8J1ZVQfJwr5qdKUzHS1Nt
U9q4q/qofyqD6XvfkMjUVMQT4F0OmPfS50wUd5PyMXalxqdkRDG9J6TxKiSPE6YP2ntFEW7FdV23
evBgxOYZsDcpzjFdoXGg3OVn52pJO5f+uMEM4v/lNH+slrAocCx3iexC4emyV/uwFglo9Wh+KJod
PE13l6/boLs2lJ9tKMEyKZPo6/Ux5g0aUHRF0jHZzw1IY7rzPPgZu7VGt1/NmaWLDaMEodV6KEsE
h27jouEUazWk6Va3COxNAl8cOuk86GZBgZb+8XqUaElr94T6vd1bBR84kIdAMK2OaboPOEdFhGv0
z1dRQsH5sBrgI+PbFYKsPoaz5d9/eMDg4oIidYZm1yeN14bhPkTmqkJt2s+VcerbygusUB7CgWJ3
l+c0UcPvMXx+wiHCTd9Jbc/ynHxgHw8IG0Cc6ULOqxk2ojfExUs2Vh3RJWxmW8Kc2/SL5gyPdZg6
V2luNLQLl/WPLdZZSXfUBFe/ohgjPLtPrpxgCOjJIfoPo+l1bjKSexMJYcZv6Czpzf1Q2G9/Phvv
q76f10Y/n40Pz9nQpri3iomUmc5IIHBMtYcdqF4VKhvWJbLGDeNC6Q2Ud21UT0sAtekpBV09bi9/
fi8YsH93ZRwmaUYhg57zz1fGmXosdVbX4GdT/W6QdAmlmTx3PoS6CuR2ZPXKK6POX9UBrg49NS4Z
RumLcsuDK9P9zBs/+QWIG6t0W7aq01G5SzL4rM10NVjjxDk4YJl8sUxeJKoQptKLObiYPgCS2bgC
Bwny0njAsBKvSRtJvbAv6H6TUrzJnOh7mreT5yvz0gLkoOFkv2RwkgHOkoQrZn/cJUihIPAcQpMh
ykFxvEY0725HF712pD8L6b8iQH+0u5i5vXQ3qq2eO9zHAlz6KaoEGXbBm2PE6dVfzu2vp9bWdQMA
E+l9CIw+XGaATFSyYbvuHJm8BtjM19oMERbvhPjLRuo3gySlaCR6bJR5VX25yD88Xk2a2GTBk9Jb
Bvn3uKy8TJV7hs4bZwgzRHmgdDLS7GUuH/78EX+z5KUWhoFycQ7YgNI+jGVk0XWl8i2G59zadD14
684ZgYi2zVdTKHSdOPKUSdPCzrFBWAGU0He/gs+63ktSZNzKeZNWF8GopaeLOpbsk2jr2/Sx/vxW
f3Oj066DQUCzwaQK9+EcocepTJK2CZgLoaoO1bFo4le4qDcj4sksir6TDvC3Ytb7ouXDk07Fz3TB
DlCag8H184Vxe41uesTTZfTdNQHXEGDg16poPdvqBBWz9Uy7KeH1iz1VhjvTd5AR5D2GmgRdSCFv
RlEvgTyA0GufheYcTQ+RQfqs9rcl0K/7NS6kxdSpuC7yl+DHqGt7K+wZkwanaNd6CTY8TRRdJYjS
nhXG3/98NX57x7JFAoROue2XzoXtxkmQdWMDP+iMr+Us8YqSxmJfMziLVcr9SwNjTNfa327YX3fk
jk1EruR25YLQdvr5isSNAStVls0um9vnYZK3BqkHnh9iSgnH+sJ2BS07+89kxC9jBy0xzVazDnv8
/4MfZARYNbYn9H6rkxc2I5X/y1Rp/FoU4Q0qNo86DzOtpQ+3zDB1RPA2CU+UJl8ZVXADyBYSY9mc
2Td+CyNWx710trbJfk1N96UMIJLNBPbW5kyFLP0ulk7any+X/N31YoXMlVradPLjjdwGvY9nQMfr
0QXxVs/g50DAOaSg19dwwdR107quF0eBvg16PVizcDyUJkVE+LfZzZTtctOK7sU4fusIc7/vjOA2
9JvmOsiPribmY+WE1zMjzalyqw77n0Vbn4Xmdc684MbGGeg+0VougexzyTSR9yzhIn2ySaJ2++em
OufIXzbRSIXn0JAPgAztZe7S4qCJWD2ZVfA2V9GGXKRwN+SkiKQG05qo5/IElqmpWAP8+YT95nw5
S1QmgzHdISgqP99moeYQlpHb1a5HvCfmCN4q5I3NkHc4qTrrIQq7W1urv8fDX4vYv1lrucw6CnKm
oTug934+NCp+yv21qghFJdYr1ju5jzTfJxhZJJ5T2MZhqOurvs+Gq9SnvilEBYyfIJD/9hlgL4V1
FyoMJMOPM0OZl3NbOpI+HFkrtcTFWiW6Tss+B6ASGq80pY3rqchPsTT/1lX+3WaSg1PNZROjqOV/
eMrNGTgXOWTVrlWThS4y3JlO8SUug+CUBZW5idBSecE8H+I+2JZhFf7lKf7NKOPik3SlbdiGRHPy
8zVgpZS3bmhV+ArnzCvdgyD6x2kWpRO49lr/6ydmK/SbvSQrbB1tqKvohn7cSzqJLLpgNjgm8Iov
hYnDaIBlcDNStNlGLYmLeZ+SkVi5D5qFdrTo/DehQuAjo4+aePTdm1h7hWoTbrpswooQRaGXDCK4
6cx2UQvLVVCQwNeS1glnT2iPjt945WLMYZ2cnLRkVE8NJaZG98t7M0yfG6w7nmrq+LUdXfheTXqL
Tw+SgigIebR1tr35GD3mbTlsojIL9pk5iudEyi+9HVqbwRxznvTOOQfG8kLS8F8TpZEE4tGH1u+o
5mgPEgS2rwbrKXKT+ED5yz/7UYqHtpDaDVrA+hb06xLmKm5pbFSP7XdR4CiIxt5+dsRTNxvxt566
fj2Yq7qLHhQ7iNtisLTzUPu9B6mCPbcT+u5drFDJBMF0DDt0EmAXnxqUjqSmCfcFmhooPFVQIjKl
vORu+sRKpoPMEczXo6kDHeyMq7Z1P7MJSs4lrucTYaPocUyHWDD07XoNbz4b4Lm5Rjt9Clm3ZVM7
vgLwThk7zGTdzgQJJKCmvWnqivs4Ul/NsJy/6ski7ks/tVmkbXNTRudJddG5G9u3ckI1jDIzxdKc
Fd0mA33Ifg88blQsRkN64vU6SrCkxEY22psIcJBKRXM1FyWr+i59brW42xnLT++/UuHsALTEkiJ0
FV0zs0fXbVEQGUmZ5P1XhlMiIHfMXbqQ4OPlC+6+/p/v3n/nw3tr+tqHQoR7LxHWidKjfXr/7t8v
UI/xkZJXsHKsEkkgQEZgc0V09geg6IFE7DQEU7UJ/KQ4hgCayW/FF3WsVI1or2D3MoOTjjAcXr1/
h7kx3aQpWpykD+aLVtTzBV+dWfjV5f03dP6mC5blJcct2Re1fWpz37r590uFiyNirXKtCDFe4/Uk
4ITy+76Z8pE1bikfxwTMUauyHUqeeYXpRvqrhC3VldtXTyhJi22oVLBJYXzeQxjYGlMOuiAsimOD
OF9oLJP1stTu2tLQ7pAw3PYpGMoizrUbo6Z27EZEFYyEDliB5T/AgqquwoZ09/cfM5b452lOoVmP
h7rXMg0pSjLcsEyohynVMJxF3U2TrBVgcrSq/m2Vutaq0cb00JeV7xkkpW1j3Y5vZdHHtxSY+s04
AcSbJ5vyu92HR6FHZGrPaJhaodynFODKrizQfiH5ghIeN4jf8beytgK6Sib30yQNShhBP59zzZ+f
MLRcaSTZ36J6qp+yzyRzz08SK8th7HIehlLtKrYvjwHslnu7Jd5OGdVjNdXVuklAGJaziDd2scBi
2RJf7CYSl/fvWLoO7DVWymmiLUZp1kiENtYnVc1qq6rks0gd60otaQRZmNrc3xJjrF9c97gxkZm0
CGmNcJ3xWR6XGuUKc6FahVbQb+NcGPd6BrZd628AZDYbFw3mzkVb9wiYyl7ro6N2IuHA0BjS9WgM
5Zm86/k4lmSomUejHrDbUam/bfu++xyM8qXvBsz/eX6xB1NcFw33SWE641qrcWA1A6YCuwzfQjuD
5S0DaK2FXm2LwELChrSeHXWb3c9Zdzs5o/0JI0W+afpyPGhwTl6s8cmyYCKKaPGYaRSO87gHPls5
n7rwqjJJmqD/O27Hem73jRYkLxbuh2b5vS1Y5aZlO3v9yLAqnKJ5tKU2eWZtTqiKo1VZz/FTPkWf
GUjSz0QA8r8n97FZEAiARfUpjGElRdnT2A3drXCiczg9lbIyHhyStS4wbR+DrvYfrWhOruNW+/r+
Uyqj6IyDO19lBPasAdpwNai93jLJrFRg+/fu8mVqJaDZcJbHlBbouozNeo/TiBRzikv70jSmR9e3
CYKOSkG/rZgeU2klm1QBERvGzKtIkrnvxtA4uzK6qyHN3LfLF2OkfjCSYO6BkVrMwxZlZ6yGV8Oi
Y6yWH8ngie+jnICgQf/sZnW/q5xR7QfbfRlFnrBfs3kWzYR7RKq9ESTRl+YbFxqXjzYQADU48sa3
Fftxa11DkLymLUf4GIg63LItbYqhrjYMePbJ0hzwIW0UrvFGTpfAqabL+3d9yEKmIB8cMFm8nUZB
P2+ECjxmZXix0yeXUHfYrsRg9SIwj3qPKLY0qdioSs1rW7PNK9tg7nUrd967U6bAQBA+VGIdn1Rx
DIykPMqSeMGmid3dMMVel1i4ABqzuTUjkK9ilOpYmU55zGzJXapmuBXLZEdGXLIOYyyGFF1ngHF8
segbGImr7/SmDk4Em2ycwDAP0vdf56g9YqfLNnH1f7g6s922lXbbPhFxSBZbYGNfqKEaSnITJ05y
Q6Sx2ZPFYrF9+j2k4JwfZwMLgqUVO4olFb9mzjE/WmP84yUW1xzmbPdU+hBMCJmUKqKjDnctiXs5
9rLYMtN056LFJOqqPtvLelS0ERsX+Jwxhgf8IH/zsnwtywRgb7VE6Zp/GLiGFZJ215icfdM7PAvq
vnHuUQQGx9VeWb4SXdFn/Tt2/U1iq7/FeHG4jtPAEFLm/Bhz79WEZYPVfHihnN81M5IUFGdc80fi
CMFDEdHhXIJBv9uLfl6n+1b5zgiEoIBN7E+bOChJyNL1y/fATo7O6v6xbcA5fX6Y7XMyohEsjc9m
zG/QYv+uGhNGg17TSBOKVjAjW4WucTa13LIKxXaVEnjhY6fbGkt3phkqzla7fhsW77nzcFRbhEOV
aj0JbFIjqISBlgns7QmODsplwnpFsx763Ngvo30oU2/n3hOI/OWDjvNFCvargAwdvJBYkGjxoDb1
lKwu/yzZUCubZTzqcbp4RABjXd96hftaOCYS8d6BEzAmVAUu89qkNnd9HvwJLLI38hyG81rplyZM
XhFMdjtjXqxDD0KHAK/6PmQkhIppXNcGxM0g7l9XzPpNWJ9035xr4WFqaYynfJ5/5asXwdyzdqZa
+AcJ62cjzRujkpGs5UNDNrC/0ntCcPmbTTnYmtE+6ZH3F9ekcdsZRLorpYJoAbJml2axQxECBkCK
Z1PhNOzdCsk0YIjK/m4PAaGeCH9Ggtv2ZV1JsnSLft9l3W0iYiYyZ0tFrKpGUGgjQOTW5k1PH9Eo
mUf9aMNy9TgSnLtbmxhnoDqfRiPMLVYOASYrvJXj+mL2IR2y5WJ+8ry9YxvtFtZAeiwTkq8Y/Jvb
FOfDZsxhqyw+Swtvvfpgg86EOObbVaT34NCLbeVf9bpq/CjumUngJ6GZEIRrDJL1B5GKn6JvUYqv
mB+xahnAL+AL1bzGzth/80bxkyhYBAbEtbuvzlMOAiVKMfV6kBGJMgvVJkejHcCBQcDgGltZAM4M
orbsSaeehuo6Jmm02t4vVBxgauBzRngM0003jFx2LW+HryjYdIu+iMKpdgVRIa5lGAd/mp6UJKMu
Z/O5sbopHlquS3L0T7WN/jtB6y5Scz313fCn4QJYyCV/AQTwNBZgzoc883dEtAC6nZaZ6BO+6nNz
p9JwOGHgvjLOcQ7TmspYzqKNc582lzmje8/QqALHQAqSxWTrAZUwfbUP87DZtSYz44CskbFOVRwM
qUJl0KdwL1xG8I8Hh0J0sdTpRcx4p9jddLFFWPpmkiZenbDsYpv+hni+SdqHwRyu/v0vhHMgY+Bx
nJ4Wib6lCjZgqRmMtw7hmffnnqENjYRf/GE1kMfF3QLq0btvmhyS5ggBneOK0MfKLPvY7QoHed9d
9qEwgY95cGvL8ghIEAZnUv8eU5ytUEoJjRuHNh7uv4SyYLkQNpiIjcQY4sz1l2MLkSlj2Q78ezrV
AUDrmWvmxqAJPAeKJCbh9aDowuG4SGQj05SYW+HfI7XuN+wFI7+3w6MyMHH1yJCVBt516uqq2VYZ
+/9OBU2cu8a7MpIp6u/3Hg/Rgl9wCxf7VdVx3nZNvNZZE5Mf/zNwKZbEgLCMQZTcD9AaQG2v2AWK
+28ZqxwILrk2MU+PvCNSPn1di1MB6jPPyJfVqariR9KsNWWH1c00OYXD92BM2oh7pE7fb9rVx83f
WN8a4HEcJy5G+PvjRRVyVD6+nNxiz5jOP3bNksYLQK748VWYrUcDUNuaQEbvHfJicmJFfdXhjhpV
957Jfo7+3TWysIp5S2FnFiA+REaXB1IOaFgRP24WouLiuX2v8GH/ezjQTkCqR6HIHpNVg2lW9PQa
CQLAYcDU2ZW/LRpT0oOK4CyGseIcBztbhvM58/trlx+CRgXs0EzCZwKua5bP26fSwkBk7GP+qsnj
tujg9vYEuXsFb5Sjbb5WTKyu+CKA55BVH3WGtPmQY66CqKqiNPtYAyuJGfLdkepKbVVzImsJf3WC
FWwQwXkxiGKbSjA4DrsHo6NXrUrzzzQYE/ZbDtbFDP8SZRbNQQaWAYrLNOlmiwU0W0lcxyIVPMxT
jy/X3Gn7mA9xc/Yej4YPv9R4Nwk9Hh3u3+B2VrEXUHI20Az3KySj4+NxkRFER6XMd5veEABMfzz8
uHn8+MdX5iTwxIRl8O///vt7/t0+vrU1LFg2g6G2/x58fJN8PN3//DipfEAkUwH0/f89t/nx5B9/
5t8zcReIm/bq/3tK//mDWZJ5+3l23tuHtevxtwLqPfYuUW59KsnYvmfGPL6q7l/95+7jq8dj/+vP
IeWoIigJXx+PP26mFO4w2tn/+6P8tHejbs6eHg+tebXuVd3+7u/JS16A17IOfQegHXf/c7PevaFg
4Hi1H18+vKJOOLs7LGZn/H0KSXvvbsOpS3aq7S6jaThXNJTeTq5uH5W6qA9zbZH4PoPyMO+7wLlY
sNw5+nMuLBIUUguOUu394UIkNyaH86FU2QkS+brz00GQU2z10E2a+eoFdOKSJXcNsHOjesJOHanv
kaXl1i6nj8qczcOaganxSEUtXODmbHtz83dA6/KUMeqgz/5S+z+o2LKd4iAncg7zZF8TYmg6nD1e
WX30s74p135BsILsc86rXZIl7y0TezANqxGZsAxD/9m1zKidu994ratzshAy5tsW3X+iv1YFLd1A
2EcxejlU//yUqdU7mKH7BSMU4V1rd6S1wnQjgNZA3OsJh9hMDE+EpS+VqvQ2IN5hG6L2E+R0kp85
b8TEEjhvw50aYY6NPmkoddX9zr9MY/eCWcbeSBBkTZg+i3Z+Bn/0qR0XDg0OGK6fH+NoJYdM03gE
ApBZ75wL4H6EX7BFmFFY0Njd+XcL+qxJUSFpmlJj3FttG1xqIX/Mw9NgNq9JSaykSoNgxzAyfPbH
9vfYFNm+DLq/Mh3eDN0te6ipcps3c5wW2a8a/GitfF7ZuyxxgMysMrWvu+Hgt00YpwptQk5tZDUT
oRb2BwQs/OnEECPfek0tyhmZJxcMVGFsLadlbFEjCfMShlruy7Agi2NoIcd1dbMbCFjj8nwr5N/W
Sed9TwscWW5KiKXbEueXYzQdzRF8RaoICijNTbWkUAJ6KPb3EHHXtMqbYaj02CcrGAju+Y4k61UF
ECoIbVjccXoRCM/yWr4blexj3xlmdh0D1Y7Ttdcql0d3dMzTUuZHRk/fDJ5C7DL6gOI/sgZMgnm/
OpUTtX6RHHtb/qK7JVJS2QTu+vb4lOOFBRIFbIS1vBw0mdizr3Yj600E6R0bxdqnIWzp3RmBwQlh
OsD/yN9oaJZDzppoU7CXjZPxBR1TSGVCbYDUIPaU93W0ibSEs4a3EIkL9vihNk4rgvptPjfOCfqY
vJBEwZWoltTBJSPbRPRgnycSBVdgUoXHFX6FnSkKpS6a+VAfoMxy6kBtpZuiTp+C77Mlq3Pwu2wH
khWTQ5EQ9wjK4TakTBh6EoKPJTGNpoX6Y3Qt0GlZBuNqGevIc/vwgPY13GWl83OqsHT3Dr7OLKfe
H1jg0lZsVyt/FzPi0rwZXGI5aZyyliJVpbjxKihxhlH1TD9yufOJMWGMBQW8lcOza1cKYyEzGeZc
p2Eg3dME6DnkVQBDDPNWFdi36s7UKU2g6+mdnJ20HMyV+euuAZOGohjht0Nfx0S/Wj8bVslGm/8w
Wvk5TLNzHiwSQqjksal5yLXIXYhgydR8jPj+cNb23rCyP8SDR3PjAkzVebvL7vm3GcRM9M85mPIG
Oaer2Ekz97ugcwp2gAVcLp1OEoG9Wo6qbdcDYYwg4e3pb563ywsnIEKYcRg2qpsJWYW7Ey0ThBi1
1t4Jmu7GQvEd1/Tuqde1sQWcgqme/c0x6gQeZyhOwFBdSqA7q3xM4m4opl1KnNkXPYu/iXtt5a0v
2OMYoyvuk+DiecV6f81aMtsA6cBBqvlo3z9Fk+imUzfD3E0VTVxISO3e9w+eWJBlUihfu/sNGUMZ
li6/0f5Z+6EDlkNd4MiX1383NmejFuFn0mV3+3nn7E3yIoljs5ilHvwuAxuITMXNiy1Ob8AuLI0X
G76ci38z7hHOxzSU8w6zO14FgCrQvZqc4Ton1b2atA+uSk8hmB04qDV6BKMhtyWd9o3vH72lMSKV
dydivMnbbX45xOaSvyNz1uSZvfvWj40XkTbCWnhOoHnAUE5blSJz5bQ2CL9jRDQdHXPASb9mJz8Z
+Vn11kiIHuW6AnRxzQAC5XIvBzvdBpDptiaRozEOeqAHWR55edr/merxjw3mJCcyCIJBTh97Z6gQ
tPLRkoi8eFCVyHBnFhpsZmXICyrnw0gF+wxWk4iblBRJpJsbexCoa9T6PbdTJyId4X3VxTVLWGqk
U10c2OUYvN0weuCuPKZMvSKUV2p56xNOWYJw3D3r5h8MG3GYZiHaHRtm0QzhZfVCFTfQ/nFjNtrm
jBr4ZIb8TMHx+NTx61uyJ8rUKZLkDoHJ9YptXVp+1BfA4l4xH4XR0IincA1ClLU+5mE7r4DTTLcp
bcHeILLYT/W9xwqqBUyFAUtrmJ+zPtZkUxEMFjyVVIBpZagXJeQfMtB50zljeZ3L/nvZFcAcGL5E
8Ckjl6kZgJog3eUtwji1yCDqSuuaOXQhLVyAqZ3K2GeZvq84tHegPAkXUCPAe6g0RP8NWxf181Mf
cnER46u1wlSawYVwiaV6GGVu7ZcfWDrq15EF0q4oG2IGG2hPLSOvqHUQsAU6usxoxE9jWpJ7n8qt
sDyHiKKSBU8lfldVaB+cCfKTYNZ1tBRh2drHuc1C7cRcZjm5gyrjXvlENsnkRK4PnKVg/m24oYg7
XYSXOQzTCEYKZyJEwoMz40D10f3dGAWYl7LqthYZh8+dQw+bLPaTFbZzQDJZWzy/mKTZwlFz7WPq
FjC/V8tcN64320ecW+pZJK+jEvUXWaU70m7tZzQKzRe08WUUkP20s4Yfakjkm0vg9nXO8h983Lo3
HQyU9W6GTzz5tMei/p4PYxeb0pi35v0uyrh6pz27hBDSgieumDF0PtEI82R9GnkVB1LvVXj3ebv+
93oh3gYRIFMSjPNiaecnAs4U9gZNT8AoyU2K4mjbxEP41rQ+QW1IN27h1KeqoYRc+EGHEDLR0mU/
3Xk8VaCzXiSgjxs705ueZf2WA4NgBGUhR6s+CZkbgTDhw3ZqUs30EwE9zaWbfjOQ6AFvYdPSFdLK
rAnPRT042PsFAWn5fDKhUfLpAmWTYs6NC5ZZxB+lZF5IwW6LsnPpzIozcmJJQvPSpEl+FBJkaUKZ
4vLGPZv2nzwY9u4yEtpUAd5z8oQGN9E/bdHePDINbti1LeCzej65/QrPi2TVHLMS4cSRITPveSzc
g7MI78TS9jjq6dV1XH1bCkVqj22NkWwXe5PWXF0T1z+h3csOwjTDS9VRw07Nd2VnMxVSzm7PArQj
7d++NsUpLMR1FowRxCz23jSog7kMhPuyb9qIPqOJD5xLPacfWOsYiPr+tC+L1SN7eQJo03onneVN
lFYaAMHgDcSrQD9MEqD0Ss/OEbC/T1AeINKpeIJ0BoTHcl/y3HWhhdT+ppaFE9kNExGDFRhCk2Xv
5Zj/zakfjquqkhNSntOaVSQTBxWyKk6KSXmRYFS1c1sT8lvpLuRVL9+yznJjgWNhU9tImbO5DqMm
UHBv+1x+sap633uMlFvULcCi64IwtzCHKFZzbjEe39hdv+x8Fm+W2Z84kWakH8BiejVmrwFgFxNZ
NQnsH2TJj6dRMBnuhbvRS07RNxWSaKiAy4sDgjgNuIyatQO914ETWRpLVA/wG+79Z7zec+QKO2FJ
4OY/bUasoB3DnylMjaty91ZWZM8pQQJRhbF+y6IdCk3uM1GRdHd0tOpoItYWc9dcpuWMcJrGr4Bd
62euOog8PyDCRHHuzScianF/9nCppuYeZlI+F6AYb6rztohP5q9gMklpMN6tma2MD0hy6ZLIEPMf
eBnTpWlpPBmuXYIiWfclchzc/CI5KucdzG6yN/LE+OlNf4GGe+9W8UcudbIP3Xm5OMEYnFSzsodL
Ey7qZXaFLpZvLaf5Wjdzf010ab2O05uE/EJxNhjXrAjKW605SRjlH0oEJy91NjAeqnLvOlY3N6CX
SwNU00ST9VS2vX5JqGA+Yef4NyNfmGC7iFc9gWo0MHj/SsYLo0v4gH+P03hkq/dOqiOYUv6GsjG8
heYLa68LkYjHVLXlUa3rm8x0cWFFsbwqZ90aq0GvMRSsn1znewdN6+Vxw9juWJT2h2wFyzsTBq6j
/HxL7Y4ZKF3e1qSYr1wPxldnNM+Znf2cGBMztR7Z0GSo0nwjBNc8JDV9gaF2qIH4tYrmpRUlWAR/
mBgND+zYYXVucd6LXSCn4ETFIJnKJerZhuPsAkS1w73TiGXve2YTDRnZeCLr97oM1rhhULzPbROm
gcnM0zRG1jku6+bOzQ7WkkwvJbqRiSVlV8zBBe/ofA5TxNu5nD7yburYGa3OvrsHA7s0rG1OFM6Y
ddhq69TaDURqR1bAWNGKyyqVXxoX+B5qKUxLJFLg/xANKbquTDZ27lK/J1m41UaSXvKgeS4zAfyK
BQMT0GXrCfmd5TuniNPk0VwU9c7LQSKIdtEQbLwisisIc3CjFZx0lkGW+xstqnFyM6gks5Wf0Ruo
+HFjqCncShAwe9nm9Qss7z2RrNbbyCf+XIxghcvBHM9LHvxokvTDwLz5TG4jUslGnhBTATZJxETJ
2EgAdnW9WyYBH1nZbI47Lz3VOp23isgn0g7hwrhyyhn/M7lbFthpRnbf8YPcdd1IF0l/0BPVYZeD
5e3XazW0yN7FpGIwiJKlSPMdY6zmLRHmBFBZvxfHpP5dqums6YkPhRV0uwKwjb0O6laP+fyUJG28
LMRkLbVwo4ZT6ACc2dyNHjGhRKa+L70BzElX/Z4UVUDSQUEpVACakUwkntz0V2h/dv4o3sN2Qtfn
VT9aiFRIvOfiB3N1uSV8oiPs5ERj7XF6Y/ibMtEhGRAqyurprbYKdb1nsLs1sCBPezBvkvCEBYbp
wKHUY37EY//WZJDJyUoC0uxP1B468KK81MOpAAG+0aHZ3cj7q/2PYLARb3YJ0Xru8uZ49Z0+MZDx
3SNWICdgUzcNr6jW9B0BOoEBwRtSG+1ucsNLWdeufz0HFW7LcpzuUQIhJEXv0Bp6y34C4TtmEJ22
kkAaoqrWzkeyTldU6hJRDiI85lqrzaufdBuhhmZXQqHokn1/h0Lg9Dg6gIQPlbShb4ftUTpLi9Ag
G7YSnemhIshrbKTczRLReyl3U5Cy/ZQHz2mdz8k84R/ZlEz6AV+LZ8OyiNHuAHuY1b6sGFzZM/Mf
LxmuqjZ+zPX8J7WZhdQDwO9mBawrV8c6tcbytI5+CDSjVBer1cEONVXNQpMlakcoaCNscrx4D/PR
bbblXKtIzN+L1qZM8c/dPf3Fd7qd8rqOS72fbpywIKiQcipfpn07NfNRCxzyXmIjuWQkQy2Bvk5O
W92yza1bUChlkX3vBoNJLTN+mlT0PHKhlZuDWwVC9yzN8lAmix+nbmRZcAVXo29ACDH8st1QH40w
h5nTNuKQqKRmG1Lpc+vqv8zDzUMARA8sJbiQiSUbLOhfrMm8w5IKxloG1hqqoH1qkyyUe2Zcu2Wz
mcWQvHYMl5aZfe2AeyE2RsCwc6NfuxLu2VCmyCFg0X3RzS/fdiqCS9n36XohcSyToHvvfb3BYG3U
uTgu2Hu3Ro5rwWUUjue2YIzeUTnW/ntmhAHjRdkcOjObd51cQWgnsx9xGsa8WDO+BkVvYnbiCX7e
GfsdfDyH1CHOWd6GOIo2GKGcbZb14gKqcj3VU/0c+rq9NM09prxX6ub71JyenslkoniHDhQ+VTlz
kJzZWl507mbu9RsVlOLNKhDLZP2JPKpi5+DlZ/kJVlWr8LCaNXIKgh+6Fhpi3anb4K9vFpuy+0TK
P1t2Ve+coV3oqfnFTXKh/ffg6+nEeuvKVZ854c7O4pWYbqZfw2RbZEKQ39ALxnvZHvButrc7yre0
hfNcgfHXTvO3p2k/zLJJtkb70RDBfkFiF0S+W/yd3Puoi5zgY4Hl3g2mdmfjIoycIPlt281TAquL
uS2D7MVmT9ZnmH8H3tXE2nsnq8lcwH3sX+oW1nGqpRH3bkEhi7VwSzCqwzlbf7DnpcmqKV8IVeC6
PTIsCoyCwYKcr0L/ZIYBQSsv3/3ptGjln0tLW1vLLXh1go6taFZ3ewz8Z0I+fhEeYEa5mRH5Kz2N
kB+uVD4Op64pBhp0jhLqyJcm+bR81b6YDkTagtSlfUM44cFL+WT64JuZOYY01AhUQ2wjqbhfWOvw
VFbTD010Q5zq5UU2PvTMTl4qnAXbwoN1WYGjZpKADGsiWyMFpr2F9jecl9KB6s+Ixik1r/LkHlt/
GjeeO1cb8q7F2Q2M3xVGYhNPa8TIkevBuATxLPjnwZQGfd4Qel0nxJylrByfwiU7Ch9JFxPadOd0
iTj4LFtK8gnSmsSPabHaU2B494wfF9O688NcjCDuZh1iYAXD7Tu3liEL5M5yNoyX1HJhSgDB3Bo2
6K+pUu/CT6Yzxr72AAfU27asn2bHY6EvOomKRHLuOzqMHzekAv+VzNaY/eVdxPAiP7GTeU4C6Vwy
JX5TU5p/KuW8uImZ3bKlI3Qky68+iQdcX0drz0gIYmVC/4PjjBe4Typ6Te/IvCV/L8L2tk7DvKkY
ghXyvh7T6ZtGzkrBVBVnu6lPXdlX55R471Mzuy/iDpC1Ow6ttexY7225ZGTpndGm5z+acm1QwXtS
QfrPJlEe5tIp4YsZM3WA+Fr4DSTT/pfd9uWbZCR0YF2GwmMU3a0e1BtF1XKazRopAeHQDTXSkmlx
GkMFHwyKa+KXtGky6zmRJmc7lgxMYdk/s55ZNpm2s7MyuYoOc0Jv2JE5lvclrcCKC8NKi3MH0OCC
ZC66C9n3zZwGL33Wjltjlma0LOFPH+Ha1vRSjOMz3gOsW8O2avWxsyHaA9J2N6BBD7pg/FaCRWDQ
MFmREvQ0a2tew5VcBPaEhzplF7OU4EoZjflXLywPfRvS6uAv5zVOXm8kaHhREQ723un4lPfSZkKT
Ncm1NuejOTvhuaKWPo0VLnNP9uid7OqWAfo7zmnE86AvN4rXpfUb9DZLdguxDGYF/gk7taDps6dk
BTX3RKY5tMrGtWjvQSomUeLCWuVJN3qKSJWxdoGZbLCDjIw0ve8Vn5Xn2loUpUJ2alBQPdXSuNWL
Gk+DV/a3ME1BH8isuk58LjMxW2e3JgW9mxNACGjhsvKWaajafeXmlzKRvDyjtg+qqTitGrPYPg7+
YKSb9A2C8lpt2yeuHbd8oVQ0O/ncpsWTsBn6rs64q4xijHkxAcrxvtynUppHWQ5XpvLdVnXK+5J4
LCcyZX9pG2oUkrAIOCzZDI259bspZPOc+/1+bDvnR8CgZYsViKeEv2PfdLX4Zo5HPX5oqZ23Tpj6
OSj0W9Ojn6IftomASqtvbpV9tJ43frQt8z13AX+n0MO6Bq1wvi6X0fCgtdlzeQ1s57CGBNxwGWzQ
INqAcr02Ow9CMR0fFv+WlWhKkrStwXQOu9TqqpPBKj3J7bc+D1+zeuVNZNKdL60guX3EIYiSU9y0
4vqRFNp9GiWwwgwQQcso76m73ywmsStlr+ZnZ55s5gOm83VFNb7Jpm/45MJ7jwtWY6qeFynmYz/L
z1qW3TaAnOjR9CMocpb5eQqt9KZMkxiX9rVJ6HwZ3fixy5wTUD8g40pkZMeYDWEv6eDvaK3dU9er
HBMA3rZVUvcrtLQFRS06OACKjqapI24KH29a/rRc6wl3snGAm5JFtkLkxnH/07dWl4q81ae8ndKd
JhVwv9qlh4Mq648OXqcvZb1+St7feTA2b044iGNHH03cVnBZzdF8mmaOn8Iv0ayuE/7He6Zgre7C
FicYWK2uSVwDBc7yNb9gaCxvtnVJFcttsuNqBCThi67S9mnyWnUuR951OIb6mLgo8zo6TX+z++pk
dvBuXYPxM86cU6AUBY12t7ZPxWWFqfg6L+Erw359HoNs52ARIGIxTb6gEf7mTAEZ7WVXxoSRVS92
zwe+FYS1+CJnQsY070pyDcM/G4PunNn1hR0tPZYEoxZaSwR1z35p54cp2N11xH5dyFTob4NpkmvQ
wJEeWntf3a8iRsXo1ktzlHdomyYWWG61tswFB/2aGq35Embn3jtgtqr+lIyntt5s9s/9+NzqqrpU
mAtoPEvrO8JEDNyW0njB1umdfnGcrol0gh+i0C3bHy6KFuMfqkOSAUgwAqOfDr+aGZQxu0znXFv9
TzoCM7YV14QwF3sTO7g/LW2s0ZPzqnA4ldWYPU8zUd0BtZ5jZUxI7jcBCyqQG8NLwfX7GRvEiyUg
jsIIOQNdRkVUWHk8LsCzdYffqHeJIkjSiXctN6mm3zbWaTpCiT6MY2mduhBAaYIwzjO7vc+5uK3F
uMYeA4zj4qUTIxniLA1sgTIU6TdI1mSv1n1y4VVvcDB2DKCdsvlZkXbPUtXPX+pmsA8929Fv7LaR
6b0w2fOc8smuEdzV+iwDH3rncO+eoQuoEUroqq9Oan5NWGh+tqLjEui7z5CU/c3Ym/zUJBA3tkIv
5UQxFOiENCsoUbt2qG8kkufUT7ToYIXNq8msHxDp8EUjUOb32uSAhBnvdAF+sYmQScdaBB2ttXUp
QkHGQ1ktISnXqDLZQ4UcwoWbPKvaI67Kaw+ZN36xjfRJZQhuh7KZD4lHAlWZ8Ncop3pxlyCI2dO3
bIKngjlJlRybCvDPCADwZcJdMuE7+O4pBp9lmb+QTILEfbC9DZ9JXB7JCfdf5PW293fAp+Al+7Jl
NvW4KVzLvzmpY16hMe3SncE+6HvlgFH3Kt7wVtmY37WC4TrWWRCLCXnf0Gf+oTJGuPk5sRLSdYev
GW9uhr3lN8RUxYHxIS3Vmvon2adEu02h/L2wIlpyi3DcAvSBJDv1bAvSRnTroe/sWdWLWvwJkAp9
7RnhUA243db3ocSbcppfl8VrY0MnHzPjoNc8KdZINggVwse8qkFj2sgM3Pr9rqf6+hIsn75vzPNO
CJSdQGWsLYS74dDpu+sgL8RXd51A+tojCanJKL52FvFWj7ue5HoHLW6JVDUOR7NFFl41c31apgWz
QJ3+XAaRf63kayjD9ttoJ+nrRDCcTZb0SzhlxhPggwOs4zemOssFdneGPC/0CXxKsm/WYxcBgvs8
JkRP4Pt8y6r1okPXZ5xSLm/lHUCKySxW5BNSuFoC4j+WqDRU3fc1YYWFuYAUvxV9mFLMHELUbIAF
hjAqB1poFxF2c5eXE6Y3H/p6CvCXVM3NXfBBNoJN7oLUfD8CFozY7qKodPv2Zrf1J6MGOLS2iYLB
ngTkSMVHgmJjM9cs+In64Jih0t2ael6jIaSXpbZerh4F/1a200h9Z1jH0HL007jS8soytb8t7B70
EAyvPLHPRalwR1S4sx9Iojw2yNA2SpfJBdm33rPVZMGaKO+pRFEclFs9Dkk8phS8dT988nIyIEz7
njfSICLyou6XYks80+k6z7SVA5YfN64Nd97ruS33zvvi1uVblxrqjfot3RCukR1cSX00kckUTatG
Uz4zKNOL/z4Ic/iKxJYW16+XF1Y71m0lmXMo/eKKhcNlA7n8VJ62ro8bY7RY9uCBZH7BY6zJjqoL
x0OQrzGvVXVGrWe9Ju45H4byjs8VcVLPnGkWbY3ni7fV+qLJvXi3/lT9cAvmMP2WGXb6BFHkffZC
uatcv8Xflk1Pg+qnpzpYLzhgk/AM8qZwNitzg6hZKFFXjK+siRsz6jvVP4gGsVmuXJUFgbWuzO3n
wal+FSHay7mQ4h2dVIbIjkgiOpLCs9KoFaO6Zn3z5Duj8UTDgAgoG5nxrIWKrdQ495JXHmjKu7da
w9EZfRCK/viDzoJU3oHynJFdepxnixCLGc+MqtZmTxDjyOCkdLyZVjXz93aadLsW7xxuM/UtYyq+
Zdn9q3Ls7Os6PHsaQjTG/2m/9sPHKPXrIq1gNzvtdIVUcR5b4QKPS7+mYWfGQ62djbsY647rRHCA
Xj3+M1z+n/+Pndj/939x/0/LeipPM/2/7v73W1vz33/dv+d/KDuvHbmRLV2/yuDcc4PeXJwBTnpv
yqlKN4SkUtN7z6efj5FqpVS7d/ccQAgwVgSZqcpMMmKt3/yc8/sZ/31EmTCrgDz97az19+z0Jfle
fZz025V59R/vbvGl/vJbZym0SK/N93J4+I6fdi3eBRqQ08z/7eB/ff9fKZrC1fmFlzu9wI8Tp//B
//0//y/+UkW/65mKM37ImSqq8y8HyQgTUhNybQgw/yloqljqv3RdVmQwJYAGnUm09IeeqaX8C73m
Sd1Nh59uoIP6U8/UYMhAy29SM5pUBDT9/0fPVLMmdZ+7fsL0fsj0UmE3EdjV5X9Th7atdkiSRta/
j1X9x2TQhC+MEZzaJo4XTqmMXxBAnpGJCd9h55GD9RXtWoZVuEWzt11nJdrXftdfPfzm0GNLeqpL
RvZYlm11bXj0uXacP4qGdIExb+IEPLQ35I9ekevHxkBpDBBAzu3NmZwHyPrfJkv2sGvYNc7GEVNM
O4/zFaaqHtz0mVvhDXRvrLzNjraPTd6MO5Azr7oiWdyHxZGYI45atnsHt7pdRIQnXl1pJc1K9yRE
3SlQvsaWcjKKsvmuRP1+UJrmbQANsmh7vL1iL4p3kawlaw8S0aMu4zNSACdbWiPF6VTOymOiusUR
7lu+cTP3+R4ScdHcY4UdL6vCcHYiDuq5OsDrkrQMr+B4Aq3fUPcYuu5Fl29avHGAFH2MY2VVAM/M
qddA5AOoPzW3ftZDJpmJEwKbFWbcYb8g5iPZNZ2FHBB6dBqeMHC2EIisqquHE+BcHyQf6KOekLZF
FG/mRy2blIGF2r8dukGSwG6S4i16dhbeFJPMtJkmPU68HI3ApoYZ9OwQYHuE9CADdZF565Siw0oO
JSw5orJ4Cya4udu2ZDcdz34l++QlTv7muLm37lkMYMHWnygaD6S+rPxNUQIHPojOFils9BcF62qr
y4u3XsWT2tJI7IlpXSBfYStrD6Dqul9OL7xWR+B8Mr2xGgOug0SZyraLy63rBpF+Ml0JjL9rtmsz
lSV1pttn01RdfiA5Zr99IS0K3bHPSJI7Z2NqHFOBv6ywZ/0Z53Hk7izVu4qQaJoRVwA9BpAYJGxL
RQyvjxFaSZ+sqjTsDuAZO0C+RnsYkzZeSj3frw8DYso9VgXJOKO4mC1zK7T21SSaCuTyk+g1o16X
M3H4se9LMUPcZa19jDDIDOyohmwMlxBNWiYqdNxW/dEXQWp/+Ft72FnVQf0gGhldxtKSrBNbkvoB
Iky9L9PgWiRO+N4q1WmQ/eQLyC5lFueO9zwABgYdhOwQC6txbfK43GMFD4kj8Po15cxm74Fb6Z79
unHLpcuG5uRXMnCoYlA2fTsEl1sTp9EhjaeU/s/QdCTZlDrhOjjL+0DQOsHlXcXL6se508QkxOgg
xFNqDs2SvUtd2MtQcZ6QruF/NjW6yufcmL6+vMcCd8QLWtKOSdPXVKLj5iDb0u0kNwi9rYUqJjtv
VT84zZgeomQtOkGI2totfjsU1dLBye2lV05aJNMZ3dSEKjKe+A0hkjagRkAFgqyqPXiJPCv0Y9hw
32viwj/VU5w9FnHX1oGvkYde3+Y1lHRv40klv2uJshtayp/4u8sPVRkPD9QfpuNb06k5nmcDHjdA
tW4x1KJeysgtD2hYKw+9l6SH2ope7yfVCDySWPvtotBSptkZhleFx5rdk/30YsckEkClH1308S+3
UNRUK+qe2FNNM2KlSi9kD5P73HscE59qlUgS8CB+0zscGjCB1Vv32IUq5lu9kXyzkX+S4vGrXJtw
4JqENNgQM8H48VT45wlGiBcnxKpf1gOX28P0v9ImuWRBWk+eCvLHhyw+LZqqTPJfJurhqvZBrCKr
TCqC1Wh8Nx2r2dT8xQ/IDikHqm6tubJiw6RgXz9LqsJWNtFRBKyDkYz89FdEzhTjStU4ew0fFAiK
bCtPBmLlNChieMfWoM5Sfzd2gXFUknCbYBYAFiEMv8ZQbaABlqT3vS+Ryjc0bov+mrN9Ez3RdCCz
2P8/3Tp5cJD9MbjUiMU9GTWEBCQxmoMYZMvXzdltllvRlYHJVGbmzCwo0uc4NqSdNg4oCMZy+GmM
i4sH3uFdkYNXRIiV58wM2KwEkbWi8HRI/Nac510oX4JQt9YloNydW7XKUafqtyTnlT4r1G1nftVH
68nDAhQ1uDW1S+uZ37b6A0Av/cGyFTL+ieVuUbOcuiBRktE7iJ6YZldxsYhzXnogT0Ixcpq2bZQg
wqJZ42O1KzzizMmvG9ngZ8OSz2bptV9dL1IAATnjZSzKcd84nrsAhZp9dSEoKs1SSSprcr1n+VNH
5unvvzRIgH5YmSFgiHahpQObMVEyVD58aaxQ7ZMMci9uKzK2sSTDHlpPGa+aB7hLBXFctJSwxrq4
mPaAfoNb1Ust7JMnOU/qg4URFPoNYb/XCrZF0qi7e+4n0p61qIOdo0SFNQN+fB8QRyIm5onuh9j9
3A8DfzX5HmOFCbeut7ZxoGLzFujGMdcjaYskpbue0pyXRCpsCk2S/jpYzaNDcuWPEiBmXmneNyAz
OGRTnTMOnY/RqGFV2o6KtJ3MRN9niZDMrCl6OxRRszYQeEJ+7jZ9OlHE2c73swgZgUMXmiHVFHBk
uZvkZzB2MY7JSI0gz3WmsOZ+D6QUWbECUwnHTOaK08mA1psRuei2Yq+W0K0nYII47OPiHIIn3Il5
IjSQpFvi681jLrISHg3G176InEOt8VvDKc5fVlmrLdFMi65eRCPnU546Y1WAE1h0xcMtuoJqS1D4
sSgyTDExT4f9tUlsCvyiK5qOGumuCYfXewgJj+RojdoWpQKgGwiwwAdAd5xshPYckYdGkcTci4ZS
ULd0YyQSIQ1at9h9VMSqoIHA+lfDoGTVWa/60uJ+ijiqVa+iFF5pX0ZSjwfT8b7rca+cersxXiz8
Oj20DJ7A9naPPiCgJDTAKSM0cpiSn3MFK6OvpqVvXM9WP1ljQrGs9TCyQ5L3kYfLNzFBhUhE4q16
dAxg5FCL5FUuaRAiG3ut553y1UGpaK6pTnc2Izs/8PQZF2IgXnvgqb0REAnZF2qfLsZ9EYZsxwFl
bUiBvrrtKtU7sTT2Hwu3vgSY0h0LeBKPCoicTWgB2xWDomml8jKUinwUvfuMQgs4fTrr5zXEDDVN
3ds1atwTZ52aqMvCLUYcqiLX3t0Ow0yxdxK+uOAR74c9VPgBgi9p3WVhNNKL26I8yjbO2GjIsL7I
Gq5kus3TQIyaJTQpy5Ye/SiVHrqkWRvTrBZ61Pqfblu/37UsmQcdMomOjTGYY/6brjG69n0gRXH6
PVIdcvlqm886QFZfc9idLTo4/iw6KQFQjFnrtYewttRnu8n0XY0mN3KiaDkFWg9aNo8zKsw88ewI
+hs88XgXtCmVy7DuhsksCXPeKO3+QVRM+C/8sh3m7WuTdJ1jGvjdIB87Pcl/0XkEFId6g9m777hv
H5EfyJAOwvA2trXXSsubbdp59sLUNP01lNmxtm3BhoIN81ORJXBlc/1Vs4HNQbOCZj913SZ7R+8H
PLdNAd4yvMfb2cAKVjo6rWtx7cLJrpV81INml3afAYZXFPghPcnlpLgpDm/92qr24igyCkR7DPSH
8JRrpGU2IGqYZVnYnn2Hoqfhm7OwMXgTerONbKOFXYHd3D6ILevWhH3VwTyf+l0IiG1E4GPWJoiR
iKef7nrLoK7tV+og1apXAYsjZl4+8ht6FxNKft0zS5bshxEn0q2bldGq6p3qjdLtXEcs6ktV+dEq
6rnFGWOtUgmU5VVa5RRgWvPXLkgWOBSaBGFQ945UVPyjOBKNn7PdtG3KZx8GghFK799/e4UW64eP
nz0vBiEGQuym81GrVdE8SLR9aL63FezskwG+2mvN8tgn8rkKguEBI0waWDTgfaE6gJoaHsRALNXL
UDWH2zSv6tyt78UYa2NK6ijyFs34WrWvoRS5V1iXzh4e/Eub2S7ksc69DkoerQ0Pb/E2hrA2l9NO
wxdjAhhOZ4iJo+eRDDWNvThDxM2ZM11VBFIPP/vpqqInzhBXTRRfnd+v4g+lNg8NStxiHhXKXQHN
HFilsVNA3Onz2+HUF0eigYxj7DqT9f9MHDbhCKlbA6EVYUD795+CImT8f/8YSHxB1RNiqxrps99/
hWqQxlEeGOo7Fd9yHrhFdE7K+MGxA1LJVHDPomkHJTqHQPvnWW7nKxETc8VRWVsISipOC8OFM+4D
fdHVW8ReXj/Ehx5KVd49fghH06urXnioM9QM7pcR0yopRO441qTbq4vYrdHaaFk1NRyan+/3xxnp
uFFrIDAfBtLKi44e+5t7/P5iEvoRdqpIezEo4gGSGxDQsVdP0qJl6e/T4KEdA8ac+h8PxQTXVJjw
8fCXub6WFcr83y42XbyWcmmBN4+zaMoeJIkc20dxZCVzIPT90Qibx6D3HjWvtA9FBtfT7hr8Zv2a
ErSa+fZBjJikIQ+iO5CfWoG+LUAu4lDpSH73XKnKp9GpvAcyUP3JyizwJtIov8WJU80VSqiH0bPT
J5zY9iLOZjpcdbWdbxI/UN5U8wGEGhVAslTbXMGgUsz6i6sqaTEu/v6Lqwrlx9+/uI6iQc9Bh5Zn
CPez37+4YZYpUdeqyTtJDz5h0wUl2DSqfYy6clW7sIlELwtVH/KDimAaGVfw09OUX0a6cNO7cXEL
1YOM6IaO0CtLUB0W5c/JPe4RtzlVHiWHIQQh6GNKIXfct1RcXwIFhrUydvhQ4JJyxvxgjte5cxWh
tE6rHfpNkzOFbV/VqclHEyxpKAE/nLpiXgSnCCCS2aAlSKzDPjjheQzyIDX2qdIZe3F0b0TM9MGK
c4vGB3OaZ6lFTOl6OhTNh/N+GTYQGwGJymY2cPWP1/9w2l9dCoJIhTLM4q+mOjUcyJi/0X6Ue+kA
ZEkCt8FREFQvbWRIQDN/i/dT9x7TELeB06pPSxPyyPfzP8xDfDyH3W0aqLv8doEsK6AtigtWXtos
bN4tjLWfQXFFkxTZxiGPhsKRvnfRt9uTogr3IxzuKiqrlVQTF4N2HwXlLNEC4zbvfgbZt6vrygO2
0X9e5H6auCbG6IH7SHZXPti8l6Us1d1LrRpv2pT6jtCBr8kz4ISAGiRJhGLtkqW89B6QPdMuPtuD
PS4QVmeH0RTWwa8sVAB013xzSNSIbb8Z+zloezl+RPwk2lhFWG9gsC+6uHDPKqhsAU2AMovnV1y/
IU1WvIRelB+aAqa+6E4SNKDcocjc5iZgHcpmBM00Te7KrWQdEuRNJhxSd9H6sNwOsjmuc0OCrp+R
0kaE0XqXnbfQ7isy6tgkY+EzPtjFaG/bEJ3KMtKmJ3ozPoCXs2YIg0gbETPCarzAQbidIEIk+5tV
6qOf63nh+CCu5Hra1ckz/yhmtH3Gf5AUF7KJ2BKiwkyWeCi9cnG74/Ww4EDikQUalIKtPHdK0YjR
+53xPhDxbDHQH9rdQ524yP2Gen+le0zMVn5e3t2gSTs9wlFk5TleO8AixHP91p9GBsWgpqG4x3vo
/vhX/mI1IObdFwcfLnc/lz8BwnOij5aL/w+LBe13MV7dkvEGtQ2sK6BDWazdP9xyJQqyVoaO3TdP
k6DeZ7ENpiFqN1FiY98g+k7g+5eqwISqBzK0uQXtws6P/VgurXpAogQbXP8yyqMJt4PciDgFBpQ7
LzNA4eydw3MB42mRsiJfaJIZnkVMNGbsmKh+yQj6TQPG1KAz4K1be3QB4P/9U0boU//2kEE7Frl7
/gFKp7L4QX5YQ98OaElUfdPhVatmADQ5d9VVMzkhlc6IZExR5Yfboed8Ao5t7Xg2yN88yX3KeG69
KL4mL93ecPaVg6YNS3p9kZQoA5ZRgVptg3qDWpntcew158lM1BXCP/ZrqqTpprV0JFUs33kFW/kF
WwfzgrZOfPUc7420/vXv/69TDfTX8iSfrq0YDjLdLAdlBW/o3x+oCuoxag/S75sZ9vq8DHsTYQwX
vC9kS9GTZcQ8UjIX8xjJNvRkzAyYMx+tGE0wvd/FalJCDLH0FRxlBHcnFF4PjW4vjnKtO7e4+sKM
IE7F0yzBG3EoGmOoFuY4yLsOQVCKEqa7K6S23NdRLa9b7LfOftCzyCAL8WSjJDZvnFyfNXj6wTSz
kTFwjcA7eHDMsXk0pL04ErFRV5FGsNz1PXSfJuY2qKZWMxGUyulaQdCevCEonll2GitMAtPVGBbS
Sz0kMDJ0F1XZqatryidJcoyz6KHZVvRj/eJAMbs0xXitEJ/a/P3HpHwsI/M5OXwhWRDJrOYx9P7w
ObkSXMUcbvvXQDJyJCEkhMna9CoaF/w7BZrwwtt0SOsEiXwM5HQDayy9BkaYXsvGw0rYSMAw4Xcw
r13PvAT2HAuaAI2T5ovRSe5ZXEuZrmrrDaUEvTzdX8MI+ExtlpjieiIOKeMZVZNFHanjtUEyhY/f
dfaNayj7LKxHgH+m+hCHCVinru2+dLWyScAd/mHH3TqNTfuLCgpnhqqE9ziEY71qldQFS2LVyxaN
u4VuIm56LxGNkxyLpkS/lohK88FxDO0gSkSDkzaoohd/eRLuAJhyB5xgTSeI60p23xynV6n9WMEe
EAGCX17BkIoLpD3gRkVWPyTIvBzLoDwFkVw/iBA/igE1PS1aiq7SOtmKNIrX49c+WOZBd0tYIHl2
6bTAufaa/djxq3otzQpEU8/zPnUb87Xwm2PbOuFjj6zruezsFH0V4i1e1kt9sOMtpvGoG0cx0jAS
Qru4Ta/MupOO98aXzR9d6MbPbtSSY3/0gZvtyWP/aFRX1/ZxYzjFzPUqfRsb8ULExJQBBbK9X/nK
GsabNyuRHv+kfisnjpyMDs4xKXBMEl1Jyntg8IO5MstA+1SyJJh1bQqe+HZO5hX6g+L55hohkOIE
q0mfx/w3vlXmcZRz+TMSFbPOlNpDWzbZozmQ3pDD9HMxGMPCCCR9Z3X18Az4YZNQc/msUX1ZSlqU
bDNEcV5DYAhifuKjvDCGOTjs6XR0gKeT31KNeyiJ3H80NkV/++OTkF+dhR40z0DHxuD14+bD8Lq8
hLmQfbUr9nBabptnZWqwWurndSKjHDt1uwZNrVkpq5vS5jlxn+dDYN27sXsoOq3e2yR/kMjslbU3
NM6nFsGOEEQYyKkEOyTZRnQ0c4edNqRbT1LLS2qYPJBSc4t4eXURoVpH6LQ1KgUi1J8xMWDATR/l
uD26MIkvRQnFu0wyZWXIKpvBRAN2Qbmg2ys+onNGC45EdD0vDwue6UO3vx2KqGlWYKh+mSAO85ya
Txj2W9Grp6vdZk9nOyXm7KEbmftWl0iUSsip62gobCoIKhtSwDK2rNCKUkTsEG6CnB1WmX8QjcvE
w5BjuUMhI13cY+LInkb/Y0yLEL1wzaf7LDGVGtkwt2X4Aj78CkqQjbWUpAKKgo776ayB87c1pr2X
O23ezLzGYl4BojKFBivOzihTLLSpJ0KgyCDSJWhxBvixXFSr47HPRlTLquGtKIGm6Z5WrJrcHN78
AEtiFpBPLp5MlP1gkYppfDDGLLWj4NSlrvbQlvqDiIOG6ZblgBG56EJ0s8MxeTNgH1ZZMwM8Hu1D
AxUcmCD+Uz018H560D2Pt4ifwJhCBm/nm6UBuDHJEUqs92rflHwENJLOZxP7XbgbFbN8rHxP3pWh
goTQNOqPLegGeci3EguHxRB6wQmYSrmrerjvdRo1D+ooOzO26O7XrkA/qtbd70gcfqIkXX7qqs5Y
yNNJhS9VuI/AW469ABlXFXf13e3QmpRybo1EHR5ZEfqajMFDHpY9ElBAnCFMojrelc7G0+tIXmML
hKWzlEDSpLaDDUBB+cBDJmoq/KBt3W0BwOxsUDmfWETA5R2d+Oj69vhICveEDI3y5rkY/ES11C90
jFp3SNRZl4l2BZMaFvXUK/IMNbTpyJazuYOww8mOA6oSdr+K5MEdZ+KeizEGXBI1eBP3XQM0848B
0U/GHqEm2FUf7s+BoT3AvsKhMQxynlEIBfjwj69WFmYLr1RB+ToUeuso8d/0zHy3Ijn/1mcDLIPE
Rempu0rALNE0pmOiCXsSjV2YySF0zaVsIWd0G5Akwz1lqfIajBrFbDEgNY56yot27aSOfHCHkcZO
lIPo2qjoN2Ab6JeVWW0KK7/c5k2h26jo8/NAr2xqxDy+Yhdxqb6Kz0GJFxLCDfp8DOX2UTQKC31g
Xw9mRgXKDYt4kpku12LMy/wMG4EWV1GmN27aPhZl+BUOjjxHhAX0s224Z9E4BeZuNjCU5T0GR0k6
d66zAr1vHu5xK7KmXWv7nVeSzqpcsOfkXp7MoaYrKxEUk2X8VzE3SE+RBSEFIEj8ig3CpjYSal8k
lS9NE34VYRyRofUmdbMS3ZYvOlLEfnCGL20/ObU0ucHGr7VtZTuq6NFCRWnlFfcdZY52GtwrcMTj
xcyUz5mUo/OTcyNI4ZBc8jQBHKY45Rc3ogwPfMe7gn0CtqB1gFb7tluBug8WvSvVMKNoIjyacmix
f/Z7acQEBN3pRTvFEjHshflEWVPrvZJb8bZBB2xZhFJ6sRwJCGwpBe+ol1k9HD5qvD3uqkFzRlnc
pLLa8AzDo/cFGvZVzEQ84SXsHPvZUIZhJcFl2zm+/OFaHpQJkun5BZa7su9ixSpW4lDvI62YicNe
D9Z53nhbeZLvMttvEHGtWeWY7RaB9OK5SBDqM+Mu2LRsGp9lNwCkzRNkxbK1fM6w3lvZfqUsxaiT
dDz3XXTfxCjQ/WhbmSgUiW6VcEvTlR6X8+lcv5XTA8ZebDumbsoHZsW6+eCNqB3paet/d1AIbtwO
KR4Z00VqIdbn0E29eaDY6eNYVRIyPIrLd77NdvjUeptOmavNHPKDdSqG3F92TqY+6WmtzGorH75U
NYDhUpM+R6q+pSTmPZmVb19GRCrYb4fVPJOiN4gXyVGVQv8pw5NgaTS6h9usnqKmhMZdhgVFMiQH
0SjU+25HotsoVnLopuY+RXKBPStGSvIL8Y2VkoZLGXjnXjRkvuu9jktzPkOCgIJWYsMOKXWEgUgY
nEWTOajftmn95R4SR6NUKis9yJSNlCQ1Ssfa8DlRnTNAnAi/56DYi7g3xUNZOkvR8NgjrLTvgOws
Si9ykavwsxMJ5QzKKkcyjOFTjPHhbRTB7h8xMerEQGE6F4UvXBXyuTrIxkkz0UuBReZgpVsVX1s8
2kekLN4GrylXlZq0WyMv1Mdc876oIytg4KIb36nLU4Yy0EkcqeT7FmyyzTm5Mj4nyWZYjNgmxM/K
MxDUm065D4iTh8pAE8Ea0rUYELHbFQw1eLRYoq11tTo4PMZA6AZn8HXUrAtbu3WhSsH8mLouqfqZ
ibBZV/aTem857Ou8Q31EsaIL/IqODDRyNBbb5ZnZ9Phc1Fa4iJTAuFFIUtsoyEli7lhOjJJ7VyrN
buUOpPWSL66d8SWG7fiEXWbwhsUk/CdoC1e9hoPaF7W+z2IZ3eNmgFtry/kVuAYieIVJAjzwszW/
3PjcOvpLGqTyVpt6IhSkXowqfBPOTQRIVqlBKZw/C8OJHyGNr0x/2LI42mhPPShdO65rvPZWQJqb
Nz+JgZOZzZOCC+ohl+NsriZF+1ZbWHr0TdAfA9UcYTjpRyexmzcVhXxkn1TAI9Pp4HfwrUjDawEl
TxTuSVDYO1GsF40lxKqm2r0YwA6FWv59jh6jMpQiUajAdHnEUHvVxm39Keb3uU+AW81d3a8/hVoH
SQOu8G2UjxJByKKzDmJURh8v1RL7Sa8L95IW4PrCQT5mshsCxcrcC2XZ8JiZ1K+nngiJJk3fht7U
zjpAwcso4TgZxc5Fxhh3UahJtnXR73tREZVCk6G09qKLKO6XeuiMk+ilrrqR5QJS2zTVlpZQVJpH
OTGDeVigT5Ob5qEaOhMXMDvHoWo6FH3RBF3vzuBpxBhp/DlRDHzoNlamgQ3Lf7ne/SIf5v7VNeuC
GihS6j7rkNg4owSI+FcZ1LOAxAoOFqyb5wGe3Us5+jRA432vW35WuhagZlYgrhfE0lvlGCWK8BoM
p+nb2nbysB/inMx7BvNaGeRo4/bkuXuUVHEjohwPZ2r4jLjbufSk/EnEJ9nQWzxVkHphnfSgtl8w
FvIvCDmaszzvy6+1UZyssPdeDLdisZ6yB6uglr9Avd2LCTD+p7u/3p+DIVQO5tjk/D686isCP7Me
bNrnRDL1ZRna2U7x4+7BRLDndm07DN89Nckfe6/SJkWYeFXxHX8b4Z6La2soic/7eswpRurWKYcA
PU+nd9XF+sbPApRKW2pGsKGTvQCEi0bgvwVUXBzdBz7M+9AVk4vAxzbN7D20SLno/QIfrnd/DZUF
Pci8MV+gNRKtjGyATIz+/ZtdrrK2iT5XpgYENp6I7bicfibJM29dayAXqo1gOIpiKaYlWX1wSKI8
uWYc7FJNkmcB8vf7vrPKPZYc1f7ebadYZCN0PBPDon+b+POUeyzPUI7JotJd/NVkvy6DTWkEgMqy
bBZEaP2BD1Semir8huxJetSnXjnYCKR2xrhBkwkn+4BHFuamdQIFfcIc8+dBXs0M3F9STqgo74vA
9G9JJtsh8wZN9dMtg3Q/4dYPJQ9BfybLYy4jomT4OwlnDip8DTo1Kmrj4miKSXpY/KHDBAcE4Rw0
02JbMjWie28yD+B7rXy/Rz7MGvXemI913AFzazC7ySo8RdgiDWCJgPPVzU50lVrSWVyiquvATngy
EXUHdyW9YeaH0YE2OvMgi5WjpCCrJGVO+oaA3g5Ku/k+YJGmQaR9ST3TWOol9kBhYsnHJijwzECF
GBuBRNqpVgJC21UwlddM6WxOTC/R9Dry8B27lrWpxN5FxGqpq88yvNFp1hDqrjWzhhLLtwbtcDis
yNCWk5FC9F2Bb+s78R9t4H8PZDt/kaSIXYE/jmiAysOuHLtkPdpd/gA0EbIaD+ivcR8zg5NYI10Q
MjJf5QpxBCc1hnNjAiTXen2pBCg7oWm68KWx/lq0K4F4DgrbmvdJEZzMCdWnQMsZsjG76lKMbpGe
ql+xNDv7sAqflTrQ14ass36NlPIZYZeHKjXzz71lPKNHkz1YUZs+yJbNQqHQ4rXoigGprDYJnIyT
CElWQvWeQmCtfWLjDO5Byd+VqPpUJi5kF6uqV5rj9Tt5jMYzW0P0htHQ+qZne0y/ivekLShSO0p0
jV2p2PLW8UWmYP6EplswE1OqAcZ9rXRvUDnMhVdY7mF0VPvQ8bhbNLAp34w22YjXJSHOF5U16kNu
lOaySt3u1JvjjyYD3rXH8wc6xZ9xx+5DkkkhCP+CbdP8Pvk+Z+goF2SD4iJPhAoiZO112Bf+C0s9
GW11P9ncunaFW7rPf0J0RyVM56EbjzvRNSIN64hKdvYk0/wXowbfUChReRSjQe2+kpC2TtxKgxe2
wSc025vL7UIU2r3Eix7EiYpmztyuTq7N0M9vz+2EElYXoSAmHtoi1nQhVdPSPN5DIg5IrivIJteI
orHhC2EylI2/Bq75Ralb4KPFEBfbLB6/ARweN41cJees4IdSQAt/aQbsgKKowlWAIrM6ZIBWCg2y
P5nkz0FqpHN5LJoH1502ghJQW9PtMBslebHOlbS+klWX5zKAUwRzMCmGNQuWpwBrnU8keNE4DXoG
YJZOt15Qkac1pa05xtFtgi0Z41pDb3mOENPMa9SdZET9UTSuWsc4lk/9wXltUYMaocC/ZK7l77sK
Upkejc5LoA4O4pUWQg9T1+lcbElrBTW0qVtq8Xue6vZJnGrE7ayRSZeR+MgftNi4TTLtXD3kWjTO
xDmZZ8abNEm9JUKCS1dnaTJ2eglpY3CU1ZBbxbLn7jTTwspW2BUG1UEOM1hpYihzMmUm5mviI0ig
dS68OFHngrCqNHa7C7XkKnqZ4dXn3+Oy2g2Yyk3kVjVGhW6aq/lqdZsGZrU6/7yGiItQj4rYgVTV
c4YjkNgMUcVSl21DDd1Sk+BTP8a3OKovKg5wWbl1pvjv80W8RRb7CQ3wNXIj7r6ZiMniSE2Al6MC
iPZDRLK8h426yYqRG9PPRSdyqNphxBpahOxJ2F58ZUt3V1Ph2xZ5IZWUV7pP/3F5JwbU2vieV1jN
3qeJo/tSsIk6hdxzg8iX+UrSBEWnBIkV1widpTV1/aA7kx9lIRSH6tGrKPWIOE4ffLHLkWebbKZP
Lev8kv2Gp2rPkp8EkNyQaZMSWXqLVOkzDpboEDladAocHGdE3LRZyLE1z0loOe1SzVpz18mOu+Or
R6L7J2+jUixk1KOhRgcaoCvrDeniYiYoeoL7kYdyuRo7tcf1ihno0avLMWxQti7aJWAU9VL2pfEY
xla+MODEr/nzGo8kzWX0PbRo5uVIq4kpP0/ogXOyVQ6BaCLv8tSjmTiqyEioUy8quSdmSfgUSkin
VJW1a0281NFZ791TYiUuNKPk0htqtgPnsEvjuIaTjo7+mNdHJA9RgJkaddp4RYb16nZttRWhcNqg
+VNjktSaT9plFGgo4UmjK81GyRucRZrh4Km5/fHWFflDPcqPQT5Zq00pxXLE9amw0RWnTrhmEeQ+
igZIJ0L1ZgGtwHEfxwh9XxbvyE5P3cZlxaLn0mc9qi20/PN8xepquIi5WeBgqjw20u1qWjDlna3Q
gEtaSI8aYmeP47e+kzEBkNAQmZl60O76ukPYE+GqrR6+pOBz/pBduCqOUb96fu6hqGe+m0GFSjuO
QFQXo5oihm4ixB9W1zLVy6viN7dQmrbsx6cZdV8j+zoNimlTyHaVHdyOfMMOEAgddGD7YCHjg6Oo
EjzKpZxtWNDAbceWiJFp+DazUEa8HjStmv9yppiERcN7hGXMvCet9lBW2jXR9eF1lNnqkz5qV6IL
X+BzzM3rUiFUI2YpNTk1e3JgC9goTg1rGr6M4/9wdh5LjutMFn4iRtCbrbwtlcpXbxht6T0Jmqef
j1Df1p2ef2YxGwSRCUCeAjJPniMADv+x5UEe7smQVpQxthC4qMiiolVNODJmW9rDl+IPdniUXdlM
qGiRVkpRiCpKtsLSqKVKGG7kJYJgE6xw83Q5s4WfUi13bWNXuzQUzVNQhdTfmo74ATSKC118U1MV
MEBtUPzvd/0BZVviD70NtFAoX0hNiB96jDRcol2zVFUPEGR1wbYTFin0iGw/6j7hmVgdGyrRTY9G
r/Zrvc6NV0EFQ5Za6qOVq8brQC+Ze9LXU3Ejfeo8cvaVcNfcfP9znvRpMwb6zzzTgw9YhEm4bNAh
XxpDTkZt9Ls9KPN+y99A+QxPT7MoZjiTDSGiSUwwttt1l0Xmtx5c1GLsMv1Rmeri2CdVsdbAw3yp
2JuVk/ENsko+chjHyeVGyQMwUwhNZodmhEtb48RU9/xo6iY0DpHV8gWFf3Qh107j/jIESvQWaoRN
9F4rdlqbKCdATAmbXpQF4iqzDk0qfl+hDbvzlR7mugKZqtuQu1de3aeFZqlST+bHD2zXF0Nl2B+B
o4/bMkH8dfBS/2PItEWYm9lX/qbata5lycHm9vzC2/Roc+NbBCHqw1U8iRe/DgGnwR278UZFvChx
MhA5b/Kl9Aq1oR6RKAO0cTA+Vm6z7DsjebIor32hTp5AsGpOx/tKjQNevZgXZjwkDkZ9rP2kO2We
ZywDEUNJKLuNw4c/N8K1Dcjh5svbwPkKcrQ3jW8SvB3/jJNX1RRcQdtRal/Wb9z2m1/1HHOgsuEH
W16BJJ2XvpQ21OxW2JXwMEXq0YzieAmV+0NSO8MVZZrxOqQ1WyKAAtIkG2uolnrYdBfZI4I9XG9e
OQGCsgbAS7u8r1F73L7Tajjc14hMdzx6Yf0mTRm3kget7AEJzaXAANSdo5jLhdu5uXeRwHmP1Dba
BrKiWDrA9asogc3Vw7IvmybxE4qVoKydF/h71X/10bt/qnTTpSDdynYaIOKV5iB9aerAMOAaQXc1
aLU3oVUV0JvBOlSTlu7HObge6CCVwjwqkI8Is9fQ8SbEwm1tFdp5+hrnlb63wxoGlV5NX4WVhCc4
OxFRkN2QKiXdK15lr0K6b+NVdYtAcAIZTQxXs7y6N0rkkiKR/ZhclnsbCRFVdYxbeB6jstPWttK9
+B4qMlnQ9q9REzeHeoDbRXZj20qPuZ5bi0pFxbUIoWLwTZN60HmwMyjuSQxpCmm41b/2kWudoZT4
ns+9nHDHQxyPb9LXVilk6VH5KCfC7m08jkGIpCsjEYK1rpWjbKSvKEvnyQ9gGph90I8q8LD+lK7B
DJNXjbtREEfjMk52uZOZL3JcPiKAUhMRlY8Nh9WKNLu7CjsIfo3Ozl/Rj94jA+Q8Ui1QvMJm864W
XvMgfS4Evws9HpKTdPIzz+DTq2OU1pipOKi0mOyod7JbCOIE+TCoGzPWyPuX7jGHx+9c/vdmHFdC
7bWTNMPCXBKhhp3lNizWCLxC4bDqgkhvVnIMfAOMgfFm2qU6/7e3rpwo/XJ23MEw6odmtiAi4x1K
u1cPbAeIOfGXDaTHSo2T0UFAr5BMX7W+4fFRzcYe9m9wp3KQG4GkVieCi70+ne/NNATqWY8hvAXh
t9fmnnRKezIS/6YO3Ku3/QSnvTTmGlXsi/sg4ufRuqm7eUOj/BIl6DZSviB1ey1ZFYOdnmQTBgDD
xQ37KFukVLObK6vyp2h0Zj6OP2PkpaLE2cnhzS6ccbgkzigQboFmqTLj5i2q+HeH7DUgHkO31qun
CaHPR9kzUWeeDDE+s3vhqFGckqCCqqGuZkYsEuTRpBjzHcu8hlUybsYoC1Yx0jfxkq1OvjJEUWwS
k+/cMnPItAcqebNbX6u9Sziz/mSmbl7lOm7JH3huPE7zekUctdA6+UDOeQhpouBqgpK1/SVNN/uU
wlkSms1SPglpE25BWa8IujUcPyiGe5B5mvMpKkFy5BJMVIuavgFbRd1c6rmRdgUKilBTjbMcalZ9
by14p262+zA5689Yac/csTpp6HRDiByNX3wfQgOtUD8G9Nd3Q+e1m5jaPmkPfHv6cGtUpC216jae
iUItG5XwZFYxvM9VZW67TIin0cn6pxAtL7c1r9LCDkXfEeeE2nLy/HQZ5/C6Ka7V7JXAgfEeEN+j
xvn/5gUQRPFRBPm7nBxmyU+E4MOV3Y3JWzdU+yHP9KvRpQmFhVCpcUh71rLIfQ2/SmODbMZzLRyS
L0zIB8IVhd0epc9mv3/xoHGSvoBw7VnXoXSDPFZ/coX1Fkz1D90vxEtcBfZzaW8apfWg/BXOq+L5
ytmcfXbaOEs3gf5UDhWuMW0hK2m4WeDNJt87/VlHHxu5TpywX+0jSofhCb8Y88momk9LZW48I65n
nGUvUFtiQe3Qr5WCw5IX+fXDPF46ERC1nmHk/3s88Vs4uWenb0ywQo/mxclCQEupD6WvO7gHu4SB
u+xL84k/KfMJugILvXSv2Ld1aD3liAZdxjKC0A+nHBYi8LBqAsLx91lW/4z4kHqVc/TS6LaQolnw
T/8zCYXcJ9fX47Oc4yuFe3DnBzbnEX89sOwGcXxK6ujVtoV2qa26WalJ6L9Bl/LLq43pZwgBomJA
DwaN+VVz9emzjeA5HyYD8BF/M5uqtqZjUvgE1hQOQQUIyWvkIAHQO6715pfZLsgRAq6G7LmZmzro
qTlRQMjkRZo9ey4bCbQGEK6gJ0c4VeMsPM9s93IWIlbxqR69b47pWAXLFhyZk6oDqQUvNNXAyMUm
ULsKd9D3mSMuICLgbq9lG/lecNbUTzniZqL0EpbNeUZFlglknHrUZpO02xOHkzyuhtVMZHgpjIYj
SJpUn1Nj1KtK1cZD0xj+e1+/uJleomao+rtetIjERElFDDKlKCaZGm6hirqsvLJ8KubG9FukfKew
hO+RrqFpBHw5BnVu8EQ5X/HkE4QF3VGIhfTJUSVEDxRmVGerFwZKOjTIDYtlbyESJW2NlhgXyCSM
ixM6Vw4u+uFuqozOfIi0q96wL0DDkOklUHF+8NCoZgklNT8mO7FOslFcj1CXvCxExSUqfuMq43S0
vA9qhu73cPK9FjvQf7ph0O0HMrOojcffuW/8hK+NjOcwTSfNR1GrUQrxTMGvQzpf9b/mtrPVdEP5
ZQlvowRq9W207ZmbMrOexzDx1pPi2KfYaLRDBJ/SDKsOrlAuHGIrAKdlIXLROJ9hmkEnHVvDVpu7
Csk7WJKsd9fwnX0stGBdJCTZixBKinTyjR3S2ygoBPmr7hrWoz7k8ctEdlWamySMj0qYw3U+jwoM
GB8zkZn/5ySjTHLE4WexGoLTpRZ+s0NLX82yB/waxuAS5Kgzt0b5wbny01RB1QjTsp6qyj9Jc61R
lwDvX7NGCa/6yBMb9YCht0kwD9EbmZjb7EHXCSM6WfeYutlhIBnzSSgGBg9wQpu0HINPiPAe/R5M
nsJt9EIYv4JSBztsN9AoI6xB3DIIPysktWKr/IAZ0GajMcWrsEBEDdYjbQ3e8qT6BFAEJ8az0HSY
Sufsdt0TAhqFEZ9BziYv/L0gykuau45CsZnc1trK5Dj1bcueLM9bC+r9OJYosslhBtU/1L3V+cWE
yeMKdeWHXLYqUFCEAgko0/woHXzWfvXZpPBROXYbr2VmXUz+J5ntnthn03BHnWaNPh57KpVoZYEO
2DfjN0uoMUoyxvgco1CyK8lNwhuqu+Eup+bpNFnkEZIO/nW1DU3KGlrRPrSCEoYhRv/aFZrGN0/a
iujcBjP1Lj3LFKiGlWWyV+xROdZlAY9Wn3kvUTUqF8tLT7KXGOb0MnOezC5X9N2xKLJ2DltQTUSJ
3qmoydNHHfWLPqpgfLuK8CNzve+lsJQfPtSVJCuiEJGFYuP29fgdnhG44aPeQpTKjmaAUQU0dxDr
Phrq5wkld6i0Kign5q6gMvnRU8PVqGkt4W0DtCZCvJxyDN9/KHVXPAdAq7iRP0VDT6fPqlViQHIg
fUpYDgiwVRRp4gybhBGJ9iPxxuSUUFKw4XFJaiVGuywF54upysxL2anaDQSmD9WvXB0z+ANIqqEa
IVYSHKaJYZNz6H/X6qbcGaYF5m0w7M+6IOTaNF/5FQ/rFAm8NbfWX2gqjdTFwIwOl0NtrBpj5A6c
RGyCBucgG8o3AGTKSwZyWYw2Ehlz87f/X0Pv8422E7/nS6OcfnPXLfGCKtevbkfcaCgT8dVRgYU4
ajETE7gV3BIAtcNL5CnhVz3I9UUlTO8FNkuTg2eiXgiPa1uPilkY2OrmqMRNuDBUOz3UmeVfoZwS
29AL2TEPrX+Vtp5qCJQbK2MjcpXAcCr4Hqbw7+TlVG07IM8fYw3/LQxLjzUlDM95ZmxDbhCcVrtp
mUw2SGTue/a6GwgSgWLoTr6OWuV5LIExeGG/skYSkDnYj6cWkMRODfViB+5GeQp7fkMl+6ZXRItc
fjVNRm7Nr9+nckCfwbaSszV3FU+Bs7eIXqH8AWIqnCdpbvMBNYQyC1c+e4V3/uN9QPmG2EkvxLW/
KMv1HqRTmmS3LfqjScX/6zD0085Dsnpt9p32SUTs3AnfetZzLTijjfGSDK4D7beIZ5ADD65r8aYr
Bm+tz10wdvCI+nlCMSpdChOUg+KTCYfgKno1ojJ40ELi+or1mRfhu2qN1kvT5PoGrFixbngDXgy0
dSCMqcOlaBTrBXGy+sEs49e0b7yF3vbDRqmNU2c53TMUtOI5h6AGgC96POOM+oRNKthPCMKDHsAr
xyEHuqzZAF5lr0cQcmVnQC7dyrsCEoaNNm/txxAoAN/bZviudRXHizz7gpJnuGZvz/ZGd9WHrrT0
pRxRwiqnFPH3lqjVsnHJxyOQoZ2c2kH10YO2qemcRa9MD0gYnfy6yT+cWAtBiyXdwTL87KNH4b7n
b+i1c2zx0JchOQTeiA/0XdEx53G2Rj3WizAgPgLpF4p+GhCXQoTrtOJrHumUuTmmoTzEIDsR1OBv
ht+/9QKBP0rxVVlezTSMd5mhKGev1343alo9WXBy7O/2FuRlag4tynbQvxt8xz6Vqbh0YJx/+VkC
O6yafs8jInp2DdiJqstkIzrOieqg9kfYVNWNqmf2U1vqSFJB3PLNKfVNjOjQLyPwDyPRmC+NXtRL
dQy8k4Wk8kJJ6g5G875+i4w8PkDNMy5lFwppewtmhSzd7NXhaF+HmW9twKfVbyRui5WjOe4OBZX6
zdYJGNlmRXBn9rIZom655ZNQCE68TWBei6pMrnKlsqMGoWj6F2A648toFDPijQcw9Hznl4V96Ybh
K4Cu7pfv7k21bX6SDM4WQ6KVrzblNOtmNPMzQt0IFoRZvkU01yfmTxX9GFrF18Std9Totb+yytr3
BFq+xGFQL3MkZq6JHlHUrcDqDcXzeDbVpIDgo9NfjTlV61Ks+tPuluz/2l/cAn5kdqK+wabuACZA
XIMaKHufUny7HWBueLQ8EMB67GyshvcRGL84KPkLoFEt2ldOWx9hq2mIaY1OTIrETOqjbKTr3rXh
sl2rLrxl/5qTp1RVaJWn7Pj7KB7quWnAnKxQGBQrOCeLB+JLQNikW2vc5F8eFLbhYJ7HSC9VLa8e
J4l22Bcu/8W3xioCdkd9u6l6JGekDeENgBl5o39CmOXvO9mFh9qFhRDA6jxXtSYTekxfkHyBt52M
OGK18nIMtPlyyptt4YuHm6cSfnQUAmHcjbz81/jQvSCGaV89s9lEREfeJ9XIz+QUgZTN3agNmp1h
cHPQfBG8q51urAiaTDvp5Z+6WkxF15+ll6Q6zF2K+myNVfU8Lzm0mvIml4y6qV3IrlyyJ/u1kt2A
7c1tSdmFHWJrmZWz4zeoIitPtAoictIAmQqn8x+bvIJDezpYfT1kN480/jXmP9nYsOwarz2T4TEh
E3htEct5HAzhPnaB4z661HKldgGB9x+7OQz6IkvBTMgRnG9RcptRiS2RWDJU/0zVa94a3Z6lw+Yh
w8E0SMpyf062fdi553q+Qsnu95W0cVT67f1r3H/yAkpwb+sVaXD2YXNNEt05tAP1hDARUSHreqaJ
jMt8aZoTuw55eRsgx5LM0xehK5rbVGmr5Xx5+a9JpEucQ6lZ7WoMnYxCAaXeRQKgbpbWweOUBQE1
GxrbyhqYTpV7JB//OMbECR4on1/KYXe7l8Axy/0CuD2hanch3a2pn0EV98f7OCXWo0MTjR+DZTlI
5HnqxmnU4aCjDHwQlonKu+xPLhq/kVr45vruNyGSzzhfM1Qab+Nvfd0MdHCBgEBhfVrE6iV38+lr
UNj1Wk3z9hBGUf+sa+2HtPt1CR31OCB9EeZs81I9CK5ZoymPuQuDGl/2dlU3tsK2IzSaHalHFba6
AdLZCVr6IyjL22g5hc2ld0nKF9kh98es3lI2qITAvjmvKRsjBVsMhJe7ihr6C+E2c/B0rpJd9E2O
SiKMKPyycuUg+oTS1GB89Y2svZaqXl3TMnkzy3L8gDMBdsIN6mPqa/ta+454lZz47SvKkOJV0uX/
vrYNiCezYLpQpu3OylD6pjdKnfMVRFFAln7WRuec0FgeXqIahGaocnqKYn94Yasb7Dp24CvpVZoi
PTeT900608rQ2CIdwSWk3TKa6o1mBBdjFCAazco7yybrSHJDED+2W6F4MWrSc//ul1dOBWW/meoH
WNfVbtuiBroqc6KrXlyKoyWIVSx8X+mOsu/MRnn1l81NdUrpiUyyETOgENFN8D6uEZ1a4QSXzu1/
N5YDXfAQT9XmLwcFA/BcVa66uDuI7wWXzMzjM9+X5V92uaYfFs8jXB172RtsvSerRiB5rg2SNT6T
1hd7yyyo1fqn7EfaLQ5plKLdC4kYszcYdzfdrlyqh+7LSZtc889YafprdT0MjppdIQgzTIlCNTNk
HZbf7bwki0sqEbqRNF1fFHvhJvMlfXmVw5S6MNLopIcldx/HNx6g8DIfTH0K4BAaV5pQygd7RBgY
/d1cW8VKnAO6n70m+4deeItm4osCVplXV4/R+6jzNcpNka1lN/eRHoO8pdqDG47fDS3+qc/QJulM
rCd+Jc4rY/xHEoyPlaZE72AZvYMtoDOUg4KhqrldVTroBtbnZ50uwUM2RzkYDZBzTTr66to2+TS+
E9LcZFYNLa0d3Z6UbnKWU77coA9l/lkldvIoIQ3sUZorFip40sc70gEM+l+WQvuME5E8AhZubniJ
/32d2+M01sd9jX6gWIxy5UOXj2AKCDSHR4ShR3sJgB5o2NxQ2diu8gmxYqQhO8oVlS4+ZRSsnuRV
K43TZHM419uQk9s8SPqjRm9/j7+NkhOSjIw6VGdAc/9aRLpvk2InTE7dAaUk95h4XbMVnfdCgFdB
Xm2w6rO8jPo8oMIK48gPkpsGRQ2g/RwBxo5CR74HkU80JPaVY0R0ZFHkD4P3o3X9eDWHEcuFTDrK
TOR/TkpKF4CA6ihHKka4afs6P5jeAEEKBaqVPqNJa87nNxq2W/+Pu1F7pX/40x0ieKoXkptNg/+o
WaXJsOwrKzkOWtwG2zuTW2uMtwdAacXrH/50byvAYDRAl5P1FHVOyOx82pZlXGVT23p3js0QuH3I
3UuEjbKPHJSsRN4Z17xJTXRyAypGFF9d3m0e9+BVkzgkXuelpKNwaoTcdDKMd5uq2h8eqopHuZK0
c19dNeDHKSNipqEV8aPi1LfHk6baNXPSs92TnBM7FNyKVt9HnLEo3i+Hk9FyvxK+J9ihVvEih7AD
tRG9j2nV2iLZNQ8YfXRmyng4BPPEUg6Sl35A4lGLXYSC572bbOo/V3eb3Ojdu/LqL9tf3fuQJmna
BYCubjMgEV9P4BuCLqgvPnBm2Ibnxu4fg9EaDh1/86hJzjbERd6IwJp72XOSur7khlZdHK/6MVgV
qOo/Jjli1A1U8GD03Y0WVMSJKJUzLKso8oZifE8nyimHzm+fhj5DsLxU/LPXCm1naij96RA4nxp3
CrZG0daPiolIcZxF2es0VRyaheW+pd0gjkqngo8iQeIC06RB8y47ldVRyyPvhCYNTqiCfzvlCF0f
4xNKGwuVg7GaWvFjMScW4yh2HlxbrGVPNgp3gUNqtD/EGCTx0mmjflt6VUPFgm+vGjs1D01AsXkQ
hcrWHCf3RSg1h9ZcP7YWmEJS2o9e9OBYVgL9I00ya6C0UPdmrtNeZO9mD7wDZ0HlRAJimmvtmi++
HVkHOUJN0/TqQr68IHVt7UwHEcQlBRpAEpo63N5XVzOIQPucxPndVjSpsp4MREXlMnLBrurGLWl1
XtH8pKy5GfKk3ZdhWCxuT8FTDfYGtvZiNtMYLG2YKc5hK7b359zZRo5g14OcfnsV86vrhxECmQzQ
/Py05XB42G+v7m768wrvzyA2XVIicWDvbg+Zc9wAqML24f6YsePAwJOTgbs/qkB7Zk0p3O9XKBes
IwRG5Su8vVtR6EL1O7+629q6FbDf4dXdn7d8hQ3Eafcn2c+vMGtvn9/tbemRbq2T4ferk7NVBFmU
wAUVNb+PcnaR5V9ivbYO9+Ud0o6LoVbiFTC86hnc0VzvqqKJZXfuE6my50Z3vE+Kb+DYQyDpkGt+
9V5o+bK0FbS3dM9cexNSAi1qiNyYrOdcJyIXTj53mSgh64l4zEnRjK/SKZsKMIZheeNtfC0omm8J
gG5kPrSPw+7klsmP+3hPI37Ifz4bTldddYbCXq+aadozBKSa2NWewqDQn+DQOrlDi5rj3Bsrpz+E
MW+tdMphtg9lPbvtEB5MhvhtCB2FC+XxvIZs9LYc1plwyn/Z/KTZeLbTXG6PMsYNMX9fX8iHkbNa
M0IVxC6zg+wO2tig2NjfenLW0EJnVNkVdKR/nm+oo4M8ae6jNMUQPuwgkyiW9+cLZ/gvNJ+boxyR
tnF4dvTm9kylCW534qBDEpLt4wVJm/GZBKK7vSWA/cutGmfA+I0vg3c2/Dx/QOmbAtYxiC7yykoz
Sqf6utzJrmOlMLlXOgiEyGzj1V+jvUQd9jXVjvcF5AjZ8Ah+Pv5+hLvZTsqYYvx/HuHuSKvu96MU
FKHAH89+SBVwJKvoDAFlJrTNpmOjW4pBSX2Q7NnOQ2aNiuSRrLNLur2uHjwPqYRBDVu0V1GfJ59j
vyihGyyFkQ8fVtOHC20wxm9x0Z5rV/i/vIlcTR4it64IsspszYJF6urAp9TwOwrZP1snUD6QhnRh
COvyV526nlUGv+qV0iWOpoahIgqbaVs7FM7RUYS793K33g8K31yUz6UMCzsvzf/Oj2s8AdUqu0Uj
W40tf2uIbC89g+HNFUc5ueSFLrLxdLM6hrcY+CNYg6jI+QhaPuV8GTUt8X5FSzedxvZkWeVzslq7
oppsPlXwD22jptxHtRYRM/WCi+qBBwFfrEBAKZDA1LP2PDW2+hSrzau0u0FirOIJGUPu7ho1lQYy
bY7yCZ4VGWXdt0kkM33oz4XeQbrbm+Gen4a2lmZOiMe+GtSX+GpNoTuL+aWounsedZYbtokEIcn4
psd+MNNj05QtNcrzJepS/ta1tEOvBQXxxXCFcmW5nsY8e/Vs0mfdgDiC69jpa6kgq2AX4DtkV3SU
XMWF+kv2JqV1YUj3znImnC/WEyzpS7iR+S+eGzffgSxpX2SnT8otzO3tVc7N4unVDCL1QfZ4JTAR
+2GM+DTz0h4QYEeofk/4QHnJOH/u+SmU6sIsm4hYPQ3SrtFSdXJjPUXISUrblFHPBcN1A1DYIuwn
jfGg/+OeB9rdVB58ZB7/ZS+tOdAg1IQb6fSWoLYCrLpK34Uy6tD/888vu0ZJzNOIzeAQANJ6Zw/w
plpV/Ei5+vTWWSs5SMu99GKUgu8xK7h6TD2TrbETmKcg7Us6X/FBCczeUePm2DuTe5beifw3OKTg
dQRddbWM9qFG6Pjd1NzoOCE8SjieSYWYio0NxmIjJ1klAqljF3F4QGHlCHu/vwnmiknZxFKXx4vQ
4UlnyR5pNMASEh2FCmYK6vo5Jqw1Jp1+7RKjhm05StYF7/BGOvvR9S/kGW89aaq7Pljm6chPaJ7u
kdI+aq1FxmsoSUBChPqqdAGScPNKBIK9fUxxAQjmX5rVfIPZAdhPNJeJo0T8mJiVtbV91Msbb4D2
UOEvG72+Zq6s9hZQe5dfG4fyKW1Oo2sdYlFAl77bflUukqxQX8vQJtVi6jqBbNPb9TBE7T1lmvEk
ZbSGS7Z4bVKOZnwp++/E11a3lao82Ze9ML8mJpUKNoXhz11L1KtNo+xsqAWZu2QIdpHq+JfQMYqV
qyXZe2QrPzLHsX6mw/W2DqJXV/TM1c/O6lvAV0K5erA+rPxpQqVpSF8nZK1eIvQgXkSDElTi5E/S
FDfmtKBqA2T17Ky6rNoUhNPX0su9MTkJswciOntL+JRf2uN9LfJxc1QraU/S73gZspMOXzLlM/c6
8TKKbFVB4PzeWa4G/CIyFrJrlJazscOugrq7bd45iSHllAyUT8yDjczfkPgQz5qf1U+UVt3Mg52F
x7yY0dHzqLTgN0f5CILZamcde6VNF6al9OeZn2KlNmG/NO1pOEubbIAiDOd0bqa4tVdIOjFkntFD
3TuCXcUj+7oKRevdLW3SCx0c6KncPqpNGi+7fvIfGjtwzm3hDMvRmNyvhOAOAULMb+WEgEPhN9WW
mszoIzAntCVS96tCQfMq1yfzFAktfsxJ31DWqztf83h81xCfCMhsLEI/78E19tHjvXFa/9yw0TlS
zFi5i8T1kv2k2OFCDkkj5/fgIIJ12VTzM6KiSHjahOoWldU2/P5ln9PFpsp4eyIrHx8bCM0OqMEL
yormOoIx/V5PMCvJyoGWHpCeEDYnqgpGL/qu2l30IKsDZl87j/x/zJOrmNawd7U6uqgTpQJKQyLe
txLUna3ee3Ib4COufZWWUSXoA01Ou5I+abPddjN47XSRvdRKkl3Tw1wWIgKHXK/fPELTO5zjebHC
193NhIpUpFv2U4jGChSaGQcTo7Wf9GJyr6kDzAWftDS2pax96tlXadHA2hgn8dqgAOSsgcp26zpe
xnFSv2lF/vtK2iiz6p7HoVyCoYi+eP0vw0bs1SntfO9Q4LaWZj+Ijp7TmSR7uVshHQOVQdZHX+JJ
/U7JvriGSVc8jMboLOT4JjegikC388Ez1Ozq6+ZPabe80mcfUNnQ1vA789zqJO3cWxF/H7JuH1tZ
8BGbJOfnp6P0SrpNoWDbyi7Pzvrz7PreHdbF/CxgmDlWnfP72Qm2Uste9zcNVCpx1Rc/K0e7EJEt
Pqa4sFZ2Mqhnv/WqY4X20Kbvo+R1EkAUiNMUP6kGXybtYF46Q89WnWn4UF0iTymv7k3WKePWFsnJ
szv/X0451lTNt8B0w1chzKOW2vqHP1TwkOVJeK60jvJ41S/WeuY774OeXvzI1X7ERvEEKi57NwJe
Vl8XyjE2pv4MOwWVo2bYfIKV3wfsvX9ofvkFaS7zVa2VfOOWBN+NqFUf+mBCc1pP/C+Jgpb6PBQ6
JBSdvLJ5Kaj+3gizCw4qpewX2KOGpa6N/IhHFLG7evRBtU2mszdib8cBI1nOZEHvU163i34a0y9W
GX0rEU3+RiThoYCg42elT2uV23648MQZ0pMiXnQ29DdUjCwo/diYRVb/9EL1ETG17pshop+TCK2d
Ynv9RkV55NkHvFeUz9BFFM+irjiAjr62kTYxmfWFwrEd0rvFbQR0hcHSS03CGCjMjUX0FOaxdykj
CxTzfEUlfrPq0iJaty50IusQhjE+Ae9Y6ySl+Xvl3GhVydPNiwJzs4rdNlonDuRFpLs71vlnys3G
u3qbItcPtUJbx0PUblJXKItYSZWL7/b6MR0ByiVBUX8V8Rv4Y+dbWncIusOMfOZTsM8mRMvLenZ0
4/eMOuSvsd3H66DmHGCPQFRKtYdeLYmdb5NZUpHRhR9ln4hN5MbqXiktFDtidHLliEHYLwY1mK9R
bgY7+EFdwHt2/dpl2rMcACVRtoDUD8hZ09RbXYl03gLyRUAxgdc1Hw6Y7J2SZuWmRgjGQSr3DcZ/
fZ+aXr92B9X6Yo/dCpXs8d2vB3Pn6uiGSHutfmuHKP3skHPbdsCPtpoX2V/SLLO+GC4RhSFVnW3V
9ennmH6TvoQa5w3HalTdjWh6H41mJe2axUE1bjKdmNcQvhFQ3smHIL7jrCIl2hp2qixrK0TqjLPE
UV6Vc/dukw4zrP/HkN70TOopOnP119wBpP0BHnsULaH4k00dg1OuotL4ly3P+uLCk4i3ZArQIvoz
OJ0d6BO48GxbP/6y6y0lt2HQnv+y+0GRnzsQ/yKxx2VD1fKy7/v33GrqazUXJ7pw+Bz/mKh6b66I
09xMZNlqgkhUxSoca0Nz1FYlinrXoLCMdWsOEJ4Iz9uUhlmePU56O6pih6Pa8nmSFvf3AUq/x6wI
xa6B5fNs+TDqtEn5X6yd15LbyNKtnwgR8OaW3pPt1XODkEYSvPd4+v9DUSP07pjZJs65qUBlZRXY
bJKoyly5FhkMCRW/CC7kmx9WcAK4pfeUKC0MsSGb0VCVL8AAsmtpavLGVFp3kaaGy8H6/l7Iww6O
BE6mpplehU1cubFjHKgMuoie5oQeVEaJX5wrElJB3KXXuy0sEyQEEzle+cMgP1EM7h3qsQTA6upD
wVnPXwKA7h7EqBHXxcoKkAcVXS2yu1M+ZN+yMpGfKqrvL5AtnmLPhbVXRaHe8I1oJ7q6rnSLNA/d
+2jQjVvdidxHsqfec602K+Flj+xfSp19vEy1IsAvuGYGA/HwoHPDk1/q9Wugl8to0KBjtogUjnrb
rEW3qaPv1MYPNztpo4eUs6dRx4BEHV1b52ZRw3vJpAS1qoyMCVrf6LtaplE9ljZRYD0Ozs3EdhvV
RnBuefiLMdF4XV2uG9Uv16apjDFA6OamG6a89UCQ7NPATa6iUfQiWsmFiaCdlqV3W1CPCdVKno8K
qAmccXIWNnFFBWe5kxsSnLPNldCih+1FWYA8zMd1G/fkRiYOnsRpkkNIUdM2pn9jHnR2bdPwA+W8
OKrm/gziAw8M+0dYuD/VppdfkxLJZJBl/rXOKnsHI3wA16KpXzqF+t1cy4tXJcwD8htF+wMsr6Fp
zk+tDJ/D57SUdZ5Qg3lv6sSCoa5NHoooQ9L0X+3tNPjJRmzDoDJpERv+z8LwKvXigGemJEMe1zrA
gnM2agrYyPAHBOcDrC7DcBRXc2MZSrJVooYqauTdnKnx2YdQ9Thdhlr53KpkiGehN2FXJer0he3u
/NtPjM7OfakU61jW3Z1ENdoWsdUBtJEZvKmKJMEdKBv7sPKCNz9KvgamU115cAdv+pQFj6tXz7V6
QsPJk5gyFpV6IGXYLYVTzAkW5BfVHkRheaYMPDbGjsoio7e0FzPUlVUSDdU1VtR4p8hFAn5BM09F
GMcbv+yVR4sisWVHOcl7N1qPBNknID/bL5JWC5dK9sBlG+LrWrmk3LF+1CueIEmhyCcFrtpDakve
bizk8Zr76bAaEDJ97TpOyfkXfnOSk27kpADCqlsQ4JKjFfDW+ORNZVJOQynkQvRFAyQvBOHQjGg0
Rn+NiDWEu/C5zxF9VYKxtWvfh0pPHvyJ+lrpu+zUp8VVmMLJBALBOIddvRUm0XS62lyJFSzEnNku
rtSJE/tuw+Pu+nt9qMG29wXlhDhdElVX20+zk/CXx0DauMZYAcTSnK1BYOs4FmFxqLPOIQTf+Ge7
0rQN+LboBi++veLgMjxlg1GTMNaK6ZmbI86keSu7oe5Mj3TlCGMLJAbJxBailHW0EcZQSe3ifml7
MDS7RNOGozyoQNAUztOZ11RPbReDBNddgtWJnGzlpoMYsc/1/ZCUxT6dIpMhjIyb0SnjWy6JULbq
PetylixNuSq+oCPswxNKaLGFmJRqzpSt8rB1p0PUAmDhuu0KqMbczNpa9rAwJsBHW0jBgQM4em9T
1/Ibd0G9hHQK46R9/e3WWKAL7Z6KmczXfrm5lekiWoabw2rCLlYzJzdwLR/d2IWY4ATG+BTVdbmV
YpvkfjSoT4Fplg8+v+AIvhvF0lUpCmhhJDiUTqw+WWaq7jLPoJJ/crYRt3lKKe2ZXPU8yZYKWLed
cFXkOj40EnBt0dWtGsFLp1B3nUVKCNog+SnxYdY0HCN6zT1OPc2oml/qkM0w/37lazRCJeHXyncp
bdlzxRBtE6tY2IS5woVXbjlmILoKnmZdRUnxIEmVvqwaSs3LsIWjqUkIHZIE+EoR+TnzG+IWob3z
ysz+SX7uxe3D4j1PjHxpSYX+qIGS29TwqJ7NMNL2zZBoOyQY2otYEaqfFFIuF9bstve/lhm7U55d
U+z4vmKRgN6ZVtRbJ18OE0mhDixqL844f3cK+mQjI1Yc/ITQ9mjsfIoUw0zvUxR2hmSdwD8ES7ek
5clDUOfZS9EUL1mnqZfBbdMXXmUGuNEgIjMNjlIG1Z2tlQcxajVVCH+n0e7EKFmPAnYn10Sfk7mE
YY1NRay7r5oLGJoC/LsWv9uBfDIm1RXT4njiuc6XVDcnutGguThhBTCzVVyO5zUFYVHRLirNqn+M
G9eT8h9lHPcARKDEkvPundIO5+RK5a+mbqphHWextvg08KlrlhWnLYojhX0MMrhDHCQEk1F3Tn5N
GBrydQ6tocEJvwj67+zIIGTuu58wH74iKO5/cRJ4gqkr6q5h3Bu7irocal3s/JqQEF5Bs21uTX1w
ljzeeNunpqHA4GgqNjxyvYa8uDBmqKIiLD1EZKYNl+fXGCwC3dNPXVW5z67XTV8UtUaYkW7SOuW6
bAwkLyZnVALM7ajp0G1MXb9x4HFGDPm+lJU7zcWXmhcxdeRU/Ajh0dKaXM266ZZsfYJNzHmCukhv
jFZ5zMEz06Ree2sSfn6qFeeG3l8ASe5RfgggHTBWeTR0P+RceUrJMn51W7NaqJbpvKJgNizR3E2e
5EYO1hBPH53EgifQH+BsDcds34PEgflEkbJlXbYHtho2eHZGFUuPt5Jhx6ssctOnZGoGMgtkGh6E
RXa9k2ONe5mhs++bzllVMmNEt5vyadl0kxUQoU5eifFyICKctfAVV417DonLLwu9txepLz9HFtVX
JpQM24H008Z003IpmIUEcVA4FcDWWT5JxwNrlccKfZVYfbV0/jw7Uq+iJxNCB3n9jKZqdVPgHD6U
WVquvNQy3oc2+24lRvKQO5V0gR6apLfR8T1C52GKRj6QTa6+JX7z3eA9e+fh0qB9CSwg1JpgCWPz
DbX57pJRxLQObBsksWMhmal01b70KLd24ZscUAtCYEgeT3xb/lBGfiDRAUHxrm69jemAsITvLfju
8I/RSknZRUoo7QgAfhtKiM0THQLyAj70X7UsMESmam696YPubpE6SbdmkTcPvpmfY3dQkSHTOPqX
yZ9yDbMLQWf/ZoXFQyf54b7vA/MIiTeMkFNjxFcv/5oVfu0tvI560Sxof3bqRtbkbR8Uzhc/c7t1
rcnl0eYAcfV4icuwYZOlweCwQXVbv5Zj4y07YpFUCxUhTNGOHy3qJrIo+5SvmtKMX5VJYhXyFDhF
rTznEzVsMtl+8+Ha/WbbAcwqHQVnPFDCrVnCjOLKRvfmmMC1St1v//SMYVt6BYm7RntuU92hSk96
8Mx0V+uQLQwWpCNDpC7rGpHpLvHtbQQn+THrq35n2tLBHbN0rQzOcYyrdiET9CAQ0/SbNtDMTeY2
X3wrrVF4t4NFlQ7BN3iZbrZRWD9yvjxQOaMBCw36xpHq+gD168GhvvmCwyRmToXCJR3ApUfAQHrP
Dx9EA0GZcpQiWOknUyRJ0IoltrEmt6OcO2tQznKXf+nt/FaYKdH4rHymfDy+Quwsv2SS8gpLoXVR
w7w6D0Z560KgPHkShsfA+RHKTXqSIZ1wwn7YexbsKsD7M/0kXdyGSkXfTN47UBlbsOlQM01daTCv
U2Tr0VTb7tKYNYXrEqA2XQqDVSk3/lF1mrNSNzac9RPicAIm+g5XbBG+R7kPRmqAvkDYRUMxFnh6
4SL6jl/9waY/XbXu8NKjpnQt4vClVrLqQqCVb9LYkeHrqvZVttNwQZFFsi2D9rtNJuQBmWDt3PcW
pY26HyzZbWQnrh7EIKTx3QO6CMCVx+gbYX08OsUY9k4Q5Yt7P1CtfjFUagyoLm3XeW8Xr4UWNmtk
MPOt6JqayePHUeCX9Ubq35x8WHY1ZaBE2bT0eL+0OLUeXZ1Kv+UEqjhGnv5IKlha+h2yi75zSKvh
VgyhcbUTUK1dvdYd7TvnumIhh/W3Tjfa21gnpJ0yaD7L4H0s+R6GkrocmrD62elPnW3B8hP5zqkg
zbSAhapd9RHFM02IFHkgNe4OaTwCTnydbwlMnrd0uiINfUvUuKCIE5MYbDMKpbqO30rRlVU9uUhK
+S0C1ZOhdPZcRnLLMwhaKNG1Am88DzbBMp5zz2A+u8ekyZaUQZjPeSYniwCYAInz/qOa3Dh140jj
qeubX/9OTE54iAGHx8NeG7j7b806C6bsIYh/Fm5uH/oC7ke7Qd+GqptkF+hUWFGfSWVyCTcZR+5h
o+VacR3t0qLYUm6I4Xg3py6yXcZW/Zja5OV8vv47niEk5zKoFCA8HK+QMmdrNwjkx2aMLFSGOvk5
jx/Kkg3oJNf70LZhuGt1FOFDz6mvQzAlX5y4fFfd9CwXfNOjuEdtHTgTUS5taVpactMaQ9817ijv
wEqjZJ6p8VoxrGKvmKwGuHt6ZHQFmWn2pVQtr1W5NH/YefKkDMgEVZksI1sjrTsjzH9yyrv4/Ba+
ey2vsPOjDIqmoNmVQ32x+SptI9Xutr1hDzfZsr0VHNDqm0yCUjWT8GdqnslkAR3ny3wz+9p6t3x4
TotWqR5JMDWbIq4zsC4l2GjCWOy5qltW6c0yrazoW5H1Sz8r4x+yXyKCkAbxiwk0cNNCfXIcRw2W
FgMsr+90Cjn94azWuv1sO47CT/aGKFfxNfANyjttuTi4emeBJ+x+KF7ED6VtAcU3KhMgfBMeoSIO
10RuhkvimPmiNYxvoZJ7z5QiDjsF4tQtpKfOC2d0qCJT709oLAAQpsnwOCR6R9lPKW/KtG3e4EU9
CI/ArEGMF8Tn1K7Ktk1f7WTLi/dwQph7hfzDif9lROqvNq9QTzirACL/ddMTdB/UYDilhH0XfeC4
z4auEw4q+8OEPek0GIKLHrRgX8fnAKAeFTVlvS4NZKo93suVieLnnoeL9NqEo7+wW5v09zRaNTaK
M4b+LMsTF6mbsSmqeZCWQCo0ve32TUP0erSV9N2JrR8dSNNb4YT6LdP874i1pxRAO4scHPWSOj4Y
FhzZ3CMiNWz7NkofPXWKXGdN9acJeVYSNMoPTjk/CjmwXgqon9aKEr3bQ5mvyHs6t2RqwCzDpEru
aOeakirB71Epq7EEs+S7pXMTjo5jAs0PSWLPtlzqTaK//LBMqwi3mLjSzb6vfV8sNhHXaa592xFs
ljx/bWd5epa8CgGCMYb4qdXiE6iLPywAk+dAM9aZXz1BQR0s1VE9jZVz1BPiuJZjK+ccUfflOPjK
yqjrfufElbpHh2S45lMT7NKBkAsog2CXe06w0s1GfTMH+PTLvv9JMdzod5zYobV6KYm3L6raydYd
BEn8XMbeeCCDsPR1yUAoKtd28gCILS5MhViNZ+3cSEqXfOT5virxF99RoYGxEYHR5Hw4jRSrLhON
dHRoav2qMyIi9PJgUVLXNO0iqpsnyIKSnbDNDVVhf7lUttqtO6vTFuxGzjqpgje76gjDWHrwOrFR
rtrE0G6R4zsbn+JsNzG2ZKTGEwVG6c4zULzp1ALGn6A+d6WWPMGowL4alT2wV3q/FzYlAfoCuyxw
UMm+cRSwfigqYahxkiOzHz2NXTJqE19lSRoOvp6NB/DYvDsuGYyAov5TA/aIjWD0RapIO3QU4a5b
CJh3SdHbDzKCprKlthx6UJqn7pVYacAZxw+aZewlwQnMcLoPRgIWNjCPVWGN6krzHRdyl+7RIxru
GCYp/DGUzHMNQtGlXu1Byrzsgb30VO2MbMRosmvyQO++mAgBIG7os8mL6/IFlS+C6JH+zOfHBKOz
hOE9vdnNpKTcvFgUI9+IfCb3piAvvSpgCFsPk5cYCIvKvdT5n6KDtKu8JmEarSyrHG8wTDkLTal7
sizaeLvbZMPcqrGtg3/FRQxwWtCvBhDJyZJ3YbSUDQTca6kpT71jFaemiX9dxVAtwNANDSOk14CU
hc/9kl8iPlex3G5inoTn0kDPWJKNfJsojktVJQ0fA2ff1Bbx+3Q8G6XJAyAJH+pCivj687PIDtZC
2xaGboRNKCEpDetB2Go7I9BYQVsa2irHpMolSUdUF9TfdpTTdJUVw6WBDugmw2yw1Fzfe/B51VtC
czHZwg7WfG+82YCJTnzpqk5ZwSuo85h29aOTq8m2DvX31m+js99+JwheXuJmyDeO7cIWE6BAVLmQ
boorOJWhyRGXc1Nbl77oB0KnyI/0pmwiNGHBVy3F7y4cJ38YyFssDF2qX/m9V5Z16HpPhV2i1BaW
7tWU+VAEEaQ9QXQ0G9SI1cbg0TJ1RdNB6kEVpJP12UIMqT1x67RbSV2s3rTqMRDkTLIZI8/DG3zn
bpIJx+2pCiN9MVJUwqlXnUJ9CLgJgiXRFL7CtsA3m43iydqdwKmsG+RXexV+oYnCSfh16FrBF22e
ogwegTz04lVjKfqhDqjXdwBzPSu+WT1ynF7IfZI9w/y4BiYpPUwbdbeplDctdopTmQTuvWvkSbIM
hy7cQOCCxkra9tIauVZpGwPTfaz07E9KJ8CIpV134LsWLDoyVQ9GFoGXc+JxazgugKtSevXRtnrs
hmSpN2X17A1D+Zwl9i2HTPiSe1L57GidsWyHoeEXlq5tK+6WFEW4cmv3YmR5d27zwb2kyMvDzxm+
eUlY7gPZzync8KI3MyI2SRwy2InRiDpqMPKkysSoKyFclUbSk2zr8iPPj50w91abnmI/A9nEQROA
5OhD3kAG09CqeEU9hPlixBEE3irc4VRUmS9JRewboJm8sqeuMcjKNs94vEuRZbwkVCkBCVXitZir
Oq23heG7Wd/nNiCHedprMPzizA6v2mSj68GTxlJR2weQtlP/JboqIpVrmPnljXBOOzDpOrSj91HZ
i1JCN36+vc/te3cF4Y+8Fc4axRSr0rfd+2hsVs3Kosx+J5zloAP01E5pWHHf0ZeWel1HW3CjO8Ny
2mvrDdYmCcb8ZEfHjAjdM2pfrSJ3z1MlzXNS9q/k55xzBrPADoYH2PW1vrs2dbynpN05WpoEG4uw
1crXYqQy625qtS666CAVXDlXA6hLU/1IduRgd+hrC/+0DOIV5+cAwXbUTay0Y4sXkCeWwxjZOnIX
idL/meZG+zXPfRVhdM24Upce7gJ4o2rSYbfGiF4aGakw00nVAzH1dhk6vfdWEjreaPAcbMSoUiH7
URexcxCjmQ6kr8ramxfY2mvztSoSb6f6GaTlHWG7MDHLVSUV5RbkMs8t2xuHg4NMhbEODeuvy3i6
1JWkUJcfHD5c6omSb6Kp2sszHhG39V5N/jyKloeVBA3Qq8an7cGNESKaepLR6dfQGx5FLxzT7FKA
zhM9MFbGSUOhZxFM9OpjCcmT3ffwnU+rItCpbSZ2rVVoStp1cOVfjS7tLYmSw9nMhj8/xC5gyslp
tsc6nIv+EJjLTwOZF8qLwk2G7ewsXIhHcNYx4Zr/fTu35cBolIrygjDBhvru4d0eTXc11k53GpRU
Pssq4a5GBTgYckb2B8gmgklHSDTFJCskrmLNmHgwEIYdLRSFhE35fRVnU5K5RZ7204BwFqOw9iL6
Ma0spqH568GjAJHFegREfV+1IrYM7ImkVLMAybyKhjE9ZFXwq6E2MD0Q+U4P4moemP3mgU9+/4XL
vDxwMwjvxfrzPNGdfeY7/Rcun5aa5/7jq/zHu82vYHb5tHzlSX+9/H+807zM7PJpmdnlf3s//nGZ
f38nMU28H0o7oO/oB4/CNL+MufuPt/hHl3ng01v+vy81/xmflvq7V/rJ5e/u9sn2//GV/uNS//6V
2p5fsjvUMkR7B7Z2wfQ1FM2/6X8YiiqfWSk5wvuse7/Ro+xj/z7hw7S/vYMwiqXuq/wn//mu86uW
O1Ro1vPIx5X+03r/6f4cZjh6d3rI7ny+433Vz+/DR+v/633vd/z4l4i718N4M4qu3cx/7fyqPtnm
7ucX+o9TxMCHlz4vIUbi6V/+ySYG/gvbf+Hyvy9lOyXUuaX2dZCM4NhI7cSQCNjsGP9uxEg0DMVB
1W7CLCziqhITZl/TLcOjGC5JIO2dGFk2rfMeM63Rl15lUFtVG9JDFsQQqNX9M6dgiGynXpxTSdiC
b5nGxZwx0M0D2fefYlzYXXiiNmMJI5awiabqYcswdUBgNWT7J+iir5B6xNfCluJ9ZzsIPnfU+dpm
dG9gqIzPeQoD6eSlRRFKcmI0sCTgbJ58utvEsBrpP1oAVETOGqhlxFK531PnnKvy+u7owiq5qozA
hifZoL4kG5HY4WQPDhMx1Y0foeVqw3djUD/fFVedoAF5+5Dqnqk7BFZxLZS4uCpKo209vQC6Lma3
WjXs3AJkw4fZVu8ATE6bd8gFWVFMrMwcWSKjfpjXEkv7nVYR1PSO9/WCpGhOYRpDy/vXLYVb2nf9
WWVjcXfTR45olrpz5LKniBm9IG9St7+L1UOPTIn6B+H6Rqb+ahy6rcH/7Qgo1zv51aRl7xpMEkYx
fR4uwIk4kqMfkq4BVWHnBUWnKUwfmbXPC8u/dxwlcEDDTPYcOC4EVwSv7jOEcZ4mWWO0JOlRrz/M
uXtWQ7nu4iQ9fp44KoO/b0Lp4dNaomtk5plIt7FXKgOt+hihtVHuvEvQJN5FXAH28tBtLb2tC2SW
vDaj84Dw65wxOo9Ulk6u88z7Qlr7aNtRTNw00A+iGQmdHVBG1g/iCsG0YZ9IyUIMJr/dRNfVdS+l
4IQZGcXRiM1Ki9aRgZehNuZDPNYU6qWVJOUirC1icmswtdpSDNxHJ3dx1Y0yIW/VOwnf2YOMk7mR
cig9wGv88p1HI8V/QmRIJWD7L4PamOk7XbW/znYTPKEKn1aakeVx5a0YmW/moGEIqq6DwmR61b9f
172bUqpHqaG9Fi/CsDyVd6RMYNiy3YNojCxDsf7eztYuMrFm1IQQLZx8E5AtCF8PKN+NcSd9WEAv
cgIGcRdL9wXvkz4sWPZwvUowNKxUmNGP+tSEYd4cRVdczc0nG3V60MZyEFvOA//TAvO0+z3U3tlk
UNulHHzK/pRwREQBWU1uvuynt9BIOV2FCEqIAeJtERrUiNRO4pTw0toHSgEQpxR9sKe/jJbhPyO0
IG+EHfSYc5hnzL6lELYUy4i5s8+nbu71VGM49X6Uo3epSclk5AZMbnoYPQUA1Pa2RdBA5hP2VrTa
TnhQwOVw5nb8mzXB2NOM6rrcjEsgVRYU/hOcpJ3gJM0AqCcfc5PU43QpjPU0Iq5mHzGl6jdWj3zT
7CrMf9cNBERlXimWx4vb1sPD6Bg3vU6654ID9yHX1XI9lHH61dMNUkoArAidDZC8TSkoOXK/FAbA
1aiAfi2sa3ch1cNegI0FClk0dWW7S8NwkvVsE7DllKq6dQJ+aykG7vBk13HDrWbz0f8AevbqNtrD
vPjt7thQxV0FMOYicOUenMJxDpxc9XQhLkUDF7sBhKBC0/5uLSnT7gvV2GizJ2SnLjKckw95I2Ri
p0ZMt4s6AGBJWCA3qx7G0BRCdXn0amRzgupS5vA+iyvR5ENCtW2qg+pwq18D0e+r2APkAJOzvhXO
sqYhBx35cKLWVnXt0/g1dB0L8uEYyKkUo4b12xaSyrqKAX+6+id70qev8e81ovaZsGV+qp08OsP9
H52b0lpVDqFPSL1+mcTgWHQjeJJKyfeQ0J7k0R66hfCpOhDU5D1Rhk+diPrAaa2kratgKy7jxvhh
B2q2/WATtwp/5vCCn8S1RMi077UEojvdOSRT05sKjJRzX1yhE4wuiVntPtul1jn8na03fPcgIfqE
pvvkc19VWEVfzBFNO1B6shQjRTHIO7LKrWEqN13389eaeLMvA2Q3Y19/IepRm03+6nmpjIJ6B65f
zl4VJOSvRmc+iRlhbsfnMmfTmOtEa82GHxqdkuujn/ruUVwlXf7H4NnmRvS6oXCPXgUkmYf7Xy7h
76vZ1gEzRQ3HRX1iGp0H7pPFOmLFT7erqdZZpXUyceL/y7zZ+dfcQEaFwgo2sh9k22LUvQdJLmGh
L5z4C9G7d6PXlZ+IazuGTurX9sKn2Irqd6eNSOmErf/ohza/mUYoHc3ajI+f1mkg/Tr6XQnfDR/i
kyJX1r6TcuJP0A4sasRzTgHyEsO5gRVw04ZAL8EimOVbGEnOOoata2ERKCdhmkRreMeaUzM1JOs+
NrNNuCiyso5KW9rPdjFh7go3YUtzzdyNkYNW278saeTjxzvM87WQdESdJDfXMCiEihF3sGAl34pu
LOfJxUniCwDbKF82KWoWno/alq/V8Hz1KHApWtAvINXqSJz/S5Oh14veqwG390IMhZ0Cj7W4zL0E
FdiCsNoHo1tk5lrrQlBuTtVsAiVSppID/0k0jQ6BBFr3D6LnFRDgzB7d5NbhEVjjXx7smsA/Ksh7
K0VarUg7eudSkCQVdcy23c36tTBCnemfB0GIFE9OwvjPPvOc2aeaaJfEQBhq3k4GqweDUK69wBUS
uUr+0lYo0f3V+WukkAppk1IdRTHM9Lunedk6hMphKX4G51/FbIAZ158GZtv9d3Qa0AeXQPr0syqa
eal5YJ42LzU7Zwg2Ea9NUn7X6/GJWv9+YZNxP4wRejFqYnnkWikpii23KZYVXCV+oz720yDEGPay
UUBmC99eMo1jUE16t5nWFqRVgqNdqsFVjAY5/5E0gcZcdC0y8xfd6ychIfmpHNYt9TEVSDogC5Pc
uZ1pK7cx/X2K0MUpsWDh4kyURytxCbH4UC3sDGQnZajlph7SvloUmvzL9T4+TxVXXTBxMAycVUSX
KDvVTD0gvEjKHm2qjS9urSnPA0nPpRZZ+h7UlPLsl5YN273nojidQxUm693SnLKvBpKve0Mr/ixG
2ea4OtnANHqAwJpyP055WNHonqLvg7r+U/SaKWcrfANKd/7Wd1pzni6uxLpKJpV7WLriYx91BfXr
7KcU3oerXgKYEbZWoVqzdlxnOxaZdMmp010PdYvaXO/ly75KlMMomrgC4JRNcoILYfgwNI1ncH0c
vKT9dSVcPnhrUfAlzeRyB3qnPKgyxJK/1QaF5KDoZkF2JC3iH4WpFqqEVULqzJTTiYL/L31C4Vya
VM5JvQr0GMnCDzN6JT8apuUd7wuIkXmVMYXuevX7ZQxtRaJ89OKlEeQ/SKXmT2SgiidJiv8g19+e
9KmnyEa/AzKJlNXkkRdq8ZQFzQrq8/Em/JViRIi4p0RKDEqGWT2oNaH7abqY5LqxAuAIre/7Dew4
OSepQW2/lufLjlDJwoyc7CicQRGMe3WgUkjcH4UIeT/YpCUhrrZa7a2pSu1sScBjRdfyIFUea6py
RLdwrGoh65F1Tj1Jfvs1p20V7Swl8Iy7haO9zXPYxIY3VUXtz4fTMrDibwkYnGs2NaQwlauvJsa6
n9RLZ5sYSPQMnYQIlR/RFY1w8fXgqQedeJhN4oqa0d4kODOvQ+7QPrgplL+/b3f3VKk1d3sHrOv0
EkTTWzoM6qm/7VypPhqcPXPYBtT6qPblzuy8YWcrdQ09LaZYNTWqVkRfXArrfY6YblYkEYHiFtXa
H8E/N3X2NxMymZrPKJB2SsMRQjRx67mgrqZ+JUvq3Ui5y6/h2fGTbZxmNGbj/JoshnUtVrcKuPzP
SxuxYydoe/7LsjmlLzttgL8RXpB4FaE480VpnI4nrY5Ip+llXxT7BVJk6xWis/JchUgGWn2cfknd
IV/bHuXlHLEhei7lhZXJysqZkPlIQadHY0JuiithGwGiAyueRkST/b4SXWjSGHaMGFqebnrwZt1e
Zs98gpe6uSl+0t5UxXBXXYfizWwz5cI7V7m7FaaOoktYZidKV22w+70wiiaEGGJrAuiYeK6b29yY
T2HtZjfQmRZHRYMizqwqHQD33LAITfmcGKDZKDFdhdBr7nKy1a9NxTtUhQaSw5MSM/W/VFe7TX3U
p25Xg2ClQtg9iVHT9r92gzNcxFQQsNekVIubGLP1fNvoZvwoxgKpXoDAiZ8VR3FeOuSHYXhxTOk5
gCnvBmCzOmYuiNSpl0BtcL9qnBgRAqWt9mKgN7zy5pR2s4NJi/3I5DwPNL60lxW9QfACN+ELjs3b
NB7AlNlXrI6IXBH5/n32fcwvgWNImrKWPM/dOJ0PD0HsZVfRyAbSUGONgK7oImj8a6DKK6hpZNnb
zM7pNIrkRLfyoxzqud+rRL2SXT1fddZdkyMQ9HtAzDA6onahZEHGpEsbE6btPfcx96mCasxETilP
UnvIcqEVLGgt5/48jHAhhJeiP9R1sat0ipf9aNxm5P9hefLam6upfN6mKy06h2gAXskp/7KEbtZN
UR/+QcJhGmjzuqSCATAp0eK1K8XU6YcOPIEQ0O47p7Zuw9RQlYsKcEl0LFYC6+YnhnUzFNfa1n1k
LWabrkjKiQqnozCJqcIXGptFnao+GEVWE4OK5wX328y2+TZOS8VxCzfN0fGtdk9hNsXpcT6+mWy5
V4neEI+cujZsVJTt6w99K1VPkW5tPVkdwZq03jEGYboMRFe3onXceNVOjAZF/zV0p1Q96JyXgk+v
8IJbBeJ7DoSIVrB0USnpBlqOYCu6Y1iAolR85yy6SgniU0rfUs1vLjyp4vsk9FlgHoapYS28cs2Q
FmUJnl90UwvCThXBbb3gY2vmGUoL0AHtq9xKt/zoak8kG/glh0jge2BCvw0h/jc4AvulhdT39ZOv
Dk8AWiz4pjEq72wfVxTvOqtaHrVjOzXiSjQBUlRHq/DdAg70/yPtPLrchpU0+ot4DgnmrXKrFToH
b3jcDsw589fPJWRbtp/fzGK8wCEKQbJaIoFC1f1oUQi3WnR63ADcpBpX9YPuNtFrHzdu9FRkbfNa
qO03rQ03jl2W90WviifS0gmPrGpWimGgPw1Ee6x8s/e2sjU02O+jWqITgEHnEeXv29gjTCqeO1f4
EO9IAd/LRjk+Kr8kDrshaQmK6N2vFAjXc2+lAOw/AZZXTVNdJfzUHmRB8pVqBg+92RUPJHNO+JJU
YJeTFydLJ2G7mhkGYNRf/Zsu3+qBaZ6ELb55KYJkQ68l5z7nTslyEjo+0Yjndi5kw5Bl1o0/pM+N
Vf40zQOyzCmOlRUtL/1by99HwXRsJaJ0hs/Lq2vR/MM2pub/1e86LIr4/udKM6yMxI+JlfYg7owG
GcNzzqmoAwExiEJedQXnJAtZ/6uZWNBwF4TeQdovM8ghf/W72n7rU8Dq2PB7+KappWCRwQv/9krX
IfLq73eTGfiGBpZ1i//aUc54nVv20wPFXJfcVSB1oxGw7B2o0nxr42JjzmxpWQdtEhI8TEDj1dYP
OhpGv9Xnga00yjHXonLsaF8UvXJP4KD52NXZFyU3+4Os4XIVG/Zm5qrje/OIcMgujPPhkLWOhkoO
mRqjFQn0TTNxljZZdJkJ5NIR+VpWC2Uidrfspht8tnz/2yp4IRo6JENNa9EKzLON4Y7tMY5rlzyV
0N8rM/mVSXFcEyAUTJVPDLofnOWVKXja5FoLHfnPBlTG8B575qu0W1MagaGYu2jJ97rnIEnOkeZO
ABxiENzmFAsFWXJDLxPLvtXIgYH3JUGY5DZtkvzWHqL70DDTbfTLJO2lVQXF4u/LgYx2rHzQl9Gy
/bdOv2aTtv8+ZeG5P2dvCn9LkJOz1no3O9ZJ2AFaINOgIMdkEVpd8C0jzJMkou/8Zd502Fivk5Y3
K09zknOeQxIE7id2o1VqZ4s12srq2mJJ6r7L4UMzHQKD8OxNFZBKZNf2sPrNKC9lofsEqHeN7hGu
Rcw2sd1iOlybRxD37aL1+JjQTf58bQjBw6KxhualmuYPPG25HYMjlTUyJYzbOp/eZU0WfWHMX5q+
Wot6zB+kTQ0BwVSTw48bk4doNke14Vq2GbMJ/InYToreLq+2NG2cxdgRrH6daIg/PA3t8suspIPt
SZOLFnIOactc2LJeMkQbaWNxFC5LETY7OCPnvBiR+EBm6aFzreEIN/MYzTXS5MuHEQr/BmjatJJV
WeDD/0agfIR3km5JbbpnjxNvOUiaGrKtt5ANumUFGJo84WEkksxDmnEoxDkhOt4opvDUzDVpF4Fl
3LJ22Muao04GUYpiLLc2klsLabwUtSrOnkAqTG8hzUlb0Kv6yRijRZ1W0dpylfIUFians6B5d4mt
6Sf+3w4Bz7b23FkcoKidEXwdC22ZAkMhmbsz9pkR5p+DksRVByoVsCNFWcdTaR8MCCV7t1aNrY1T
5K4jH3IFgkV9NfPwgxOu6rsdbVHU8DfcZ6qtTfbcXesKa5mXPjarbd1Fztr80DbuXrZaSgzxPhn5
iqM1au1UYiFvEiRuVrqorANp899AKgQkUGhIes+ma3G1WTDad7nakm9OD2lXhrHoYFn/HEbu5v9n
un+9qrTN75B9l1j7RMpX8/FlMxftfPIqC5KNVhEBv4erSfbwxahtWqHyB537SpscL6skgj4Q727e
yNp1XrJkMlgg25x0qX1LWPkss5w+lV1Csqj9CZS9e645YRvrrNzlQg1PWd+Q/Wvq1j3eIJSnXA+4
EjqkC2QxzE+D2T72Md9gZaiXZs8ZJ7v82wtf9TfUqrwc3VSsq9IgVWYmqwrdpJBXcyG7TDOdtZ29
1uGUfp9EMZ65o4G5HoLug2SVfUla5asP3GhLfnm3K0MvQsZG/TD5ju0yxwa/k9v5y0AC0tZ1pnEt
q/XQdGuEmrKtrHpTH61UU49uZNUVM/wKoYvbkVvliw/JinQj0FulqipH9J+Ja87Ar5WqI54HLftR
rWZ/q6y6seuBIut+tMpqelcY69FXv3XT5EJ+tVRUhxKDWN8mi4mO7tnBWBqKJfxnVqnSqUdZk0Ua
pDPIQnyLej1L14N9Iywc/bgNdNJhVP1yNS/WSYwpew6BSDSTDQZSDpdWfmoGKUpz76QyxboQPezZ
X81uaerFSs54mZbM2sWYecq6QSpm2SVdvjfjFJ1A5GJXE/HnH6oJhEG4n5SpN9eTFoT7tnKyRz3W
PxDxTLeF7xOn0/r5URaONzSH3jnLyliXZbu6NuqKry3NComloS37HUDDFy8rSSZ0K7Fwha2cmlkw
hNMA/5wl0JZMTf/NXpSZbyx6B/hk2LT4DegmR0Gg7W6mDqVLji+i91bAqLRM53PT+zzo4gJOfEde
Rts3HcyI3P0MJuizVnTVo6GP8Z6lkrYG8dx/jlkeJ7r72cBTx0ltoRILK7QHY3K+yXHsA3h8k3Zy
P5DxyHlEa/DcDc0LkkwdHg3N0j6RUYp2JyEiN3LrKIuUrVBgFzym5t2kLMKStE+1KREIz2wH0nAx
2cfCtVZyE+pEs1xb5i81r1HPdRyp57z2kNr0tRtZk4VsjGJv0ZMbd7zadSGMQ1voU4lUpVq7L9ak
T0fLC8dFpyIqOAGZW7ticLaymirmcyfyJWqsaGLM2BpDiwI+NREc5FU8BWm9kJe+78T14tqkOg2b
lkojMpwhv3X8cYns38JoLBea4zQcornw8cJkq0rv3+zcareyAfUtD+mTMH+1jIyMw6IKav7WPdFD
8jKYsTvRLGoxP3AOl2Im+Vzql04tR24aWl8AseaYaRkVXcNz09h+BjYao3CpFVzF6LlOYtd4nf5c
Ey7PUz3Sd00qxLPaeT9aQd9F+7FHGY51grMgl87/mOx4W0WG8R3C/k0dtTj5gDSwffRurNrO76Qj
PxHltFD9LLiVVV8LgnWpgiZzYvu5Hib0keLpk+U5xSZpBpyPrl29zfa8FOMnUmbBsvIV5nhnWRIh
tc/VIXwznBiYsVs/tSMUyDTsvkmzk/bBttCHhZnuLPZoe8jdkJrnK+PP6qgM/SxfSPPl8tI9INwK
6XDgub/G/DXPpbeGvEC2uM7pu/a9TR7Etsrs/qD4eY/gPVJWZq+dW7TMDcR8scnWWB36gyzyKntS
Bt/exnVkeUdpAw1CDI0oqoUcQZBJiHt6nrXMpnincf5TIP6K1jc5SUXSb+JfyVz8Ae1pIVvNMHrP
a7XdTY0myGqYR4RBw0lQYYVk6f3qKLPAQPpYBJh9Zhsbx6AtOxY0BYuQquEQY6tUsbUp4JlBuxaa
uvL95ntR4MpXkhKdQPJeyKz4KfbO/xXZ97b/0SAF4C+2mZDxV4OT2SS/XqeRvaVK/EU4/s/5/zXN
1XaRj/81IjMhq/Db5d2E87sJZ3lo2fv6Xs1APPhGpi80pS5X+BjyOxTGsjt7viK+gAQm6ywtspgC
VOSq3rJ/6+omzch+aHcZ8muGoRxTbmNeu5Yj5dSGo3anEV+WNBlpF6B4YRq4kcMg2kyR6bsLjefq
sXD6tSarclxaJDnHmaqxUX3Sxknz69pDSETo9Z3JVyff1+aGP3Xba4PbtN1tjdPx8jYMdRYBU1YI
Odv3KW6n1sVRKszSuU9q1zgS97KXbepsynsbUIc+sjqaq7KhKdp+XWmuuxIR6/AlOzhvUdM+q0Hb
lz78Uc8W8J6DnIW7QnuPms21ndi/5gaqy9F24p0TtuapMfOE52vKEahWq4ToQDY4RZNhnuSV41f6
jd80j5d+cojfJ18zL5t2Kf90HN+MsPlJ7JpaDxfWPKvsd51qjgsd7SLfX15Sg5URkpW16ufTxr5r
fVLwimInq2idIwRskookq04K6qNqHxEMcG7Rl7AvxV9V2SBtnRuFm2IMIsiDxP7pUZ8s0Lep7tGY
q+7DiDMvoxBkfPVjxcdMQZ7J7zbZmadgs0p6aB2yKvvJsU3E2sPAwXwZ+9d8dR0026ImF1tD9fzW
yLsfhdvatz2LBlLgIS2RTPWzYZYsLxFCAMdpRnVebWCXw5wAM1hqpb+SM/x2KaeVvWWLB0GEHxrS
SJOKeBTim0hiFima8E3kHkiZxsnWm6ilF32qri51slCdw6XX6PoQLKzg47cWUw7K5/FQz9l+kyfI
MjxhvWJUnnI7kVXI+orCjAsFGWZO/QD6CG0fD0V4CMlzhT6v76M02fj4OHeRTVrVVJTmnjNba+cb
/YOi92RZQ0Ve6FPXbNhAjZ9ivAjkn45vwoeJwDek2VRJd7FnVjVd7H0qfrPL/hPhJJf+RtIqR1QV
QbIM4JP6sjxVs7puErM9boox3E+z9m5vIy2gIaC3qWexXZ2Ny45fVLCSrT5o1oNnxTyg5rFlNlp3
qhLu2rkv0gfO3vG9FxCm031tdfqirqD2wIJbQOzWP+taizyG34XgzA1SXEUtFknkxqcuLJJHFJfO
JTTxd8Ksso3l1wqANbd4d8lkxn9UkOyHRjsH/qgmpkdSNKsj6GoEhEpEgHqnuph8KwBQxEl+ddQq
BV9aSni27Cz7yAZZlUVhk8fu+Sjy+MHMfLl2lFfKjHTO+y/X6aVZTnK19UH4qbXfkyGfNpVe+9qm
nCySFhW2ayuESMsl99GaZdTcZEZxeRhanbt46kbJBgdSuviPUcRSRXvd1VeXSeR8l05G3L1qil7t
Ij0KT9fCyomi7sfl1QIeKTzBsUQrYQrNJ1yS/o20XbvIq7pwpqWnacrq2qCNDsPwmvpbs0vJO5xf
7GKUl3lFZAf0ppWeGL+/C93GFdcW7Wenivu9743d3lXtH4W0yapsuFZ/6xKVSrL4rf5rGmXyjKWH
rNZStl4H/9e57PmFlaYIdmg234D2mLbhYAeLakZoNZD9QQE4xapQXP02C1zQWxK1FQONOsac7yxH
M8TZ61WjisolY9ScP8o4iVvZBfxACFkJASbfL8zdkNg2q8dKee977YbMOWjcajBw+DWzy2d7OZXf
9BhSRxgF4lQ0xr4O2k2vdPuoNvOPIHVqnpK68hxGRrkaaqW/s1Qz3NqwNW4dpCeWbTIWSNsJ4PdN
8zmt7ehZLxT7LieROAP39uxxHvOU+3vZJAvQD4Q0qzW6gfRmXXFf18YCzd0vJVrBTzHitihXKEtZ
MxEzerIHfmRO3K5G1torW19YShg/+kHbPcZDGq2c1Gu2SWp1j2qeR0fugC+yURaD731yWC0eZA0c
h72tDXI3IxW30JLJnHky1w5+TDbVSbvFEXwc24YDvylnDTNDfDoI2cSczFXIJ2u7EdsygQYUhkrP
Q/inEo8UxtGSGrCzSXzptaGsi8/IvNgglvECKGnAKdMQ38lIK6IMz2WTxncyCGtuq+eabPOj6Fyr
iboYG1YdttkUHBfG6oJY/eLBzo38gbU0yRLZlG1lVTboOXnCUWSfpKk2u+ogGvvp0n8e5CuzXKrP
picZuyhZ9kbzEbl+eyu7cJLhnJvJWl4HaGqzVLlJHmrNWMQ2i+C4CDsTVHDi3bipco4qX2GzRODn
Ccmy7pT2Nef/akLSigfKc6vb5CygUVRtPU/T+RC9elmaAUdk88M0ETFs4wjZn7kmC9mYzz2u3f53
29ihwjfUJPfGyjq3HOiE7KkdcCPrMUqd22EIyjMaJeUSldb0y//dI2WO4c85Wq1Ek0TP/V0ZJ81j
PSpvHu/xkM+1KmuD3dQP2lJRjPpRz4fmMU7ehJHED9JiojGCkqHZb2RbOLr2yRjgJPl1c59EgrDm
0jixN0WZO+26j55HdmAq0Vtju/qmdvXwJo9V69RyM7B6x7uteMxVpOtyOUyusnYKAiBRfXfAYU6I
LU2NeB5BL12qorPEc9t59m/Va6vs/K+xGb6/HczbdBLNQRauCvmAh24OyvGnTV6pLcQLXMEepyDZ
HOA5psjqqpAlVxdjO0eTRq29Sy192k8FdGwJZW9RQOKZZD912qTsxq4lVD8T4bta6kugn8EHgZOE
g4XOs7AjJBILYnDiDrCrHp7MXhGnGIIMyU38TA6pX6wvjVbU2DeWr74GpDRw1OO95DW3CNea2m2H
gM0qdyf9qQyM+pbjj24hqwI4+F1Yx4j0VEq71PVXTRTto2yrACzEShmcZE0rxmLpnKaQW/kdDBzn
doyVeEkAAPIiozUeu3LSl8gtBR+2bm9YKZmvXVNAFREQsqxRCV6KWRBs7iBHxrMwSTVAdJIjWVqH
H1NpbrLRNl/7vi+2XbwOfNDfExHD1dewROdwbDTlxer6j8qs4rOsqeKlbhv1mZC69p7DtWOS5Ch/
tx4nmSLxl7Iqsj7dEgpsrYnTe0vJj78pKyubiLJXpl1B1LVIcA2pc2EGA8ypX1dDCimDzUC/kQ2y
0IrEuvSzAX7cAg1bXscnNYcoyB+1NQQIL9jYGSpag9OyM67G+OS2quCOmWgPkJr7ZVzUDh/65C9q
uzLAcenDsnD8/NZqy9K5XKZekd9qjokL2i4gMipfWh06Nw63HKmhgTDwkadUrvfI4rRN/yi8WTM8
NaIviectcT2239OouzOAUb1PIz8YQy+Lu8aNi13XW/gItVSc9KhUV4HGgT3M7s9y0OjcFFCIvtlm
ny4CNauesw6h9cr2ukXlowDO+WAHUZTfXD0a1a6JrfYJn8SsNUZsu2yt8sDnkMf4Ihvt3Hcf+WBk
kyyQO39Bv9s9yppu1c5Sd3oizuapQRf/cy7ZWCqT8+dcIYInhq65R2MeLOeKxJOfpMZKut06s01Q
NwqbH/663+rdoDjLtIU4VM9r60bA/pjgwexgRZhPiRbZm7LL4nUzr7W7qAJ9q3AH7uaqOujTCa81
577UFK0Qj0N8LwfKyWyzuEHBo+eZRzsCQSXZWql7K+dS9eHfr+Q/F37Io0f3vUvhi8YkdDSIw03b
1e1Ctrhd+aNZVi991LTWbojzuLkOjgp2Fj78oIU26txGK2LcboWFthlhrJwFJtxfZ5M3Y8/VQBtD
ZJm4vPROQ4JrFS3aTyDyVEd7N9WAMOOm9Ta9n4+f9An21E9zW0LalWbV/qf5j95ykmz26f3RW5qD
KPrq5rCNB9XpduyczG0Mjf7JGP0vnVWNX4CEPCgAiF4MEZkkV5kqmZsV2592mhayB5jFTd+5ZHN6
QUFAe/uqR9qw1DmBP7KahLyqKk1+lPWWuPF+5kK5/ReW1sh25cb3zC9O6Mo4772oUDsq8Wrb+FO3
FZydvV23yqHrXLGe8r5+Amzew5Wrhy95pc83HuM7jqEt1OFFm7nTU0dgC3wSlRiv+VMzK8I9/mFH
Q+3YGIX65DuwYHvT/NE/RCjq2v9qn/t3c3/Ppr+cX36gf/a/vq7PPH/1l+/nz/7/mF++/2p+//aY
rwcOUJ501/wW6G3/pYUCPcUJ+jDOgky6EOC/me1wGYgv6Kd/HSLD3gO57VhwmuYOelC08Rxv/ASv
DRRbpbzaAuZxOdsRLx4/QeRZGr/sGYl2F/vcf3KMbof3pFmkCK7c1kZcVYskVazbstdtBDw6sZIt
spAN16q8qmqdIX8151G7b4Nh2F3to9abeMoC9RFZZ7hMaSzei65+djhV/Q5vN1VseGPt1O8GNGqW
AxiWTVK4FWg/CvS0qoOsyitZKD3H5b7R1JBQeCQppGgVU3OURVy4zTGcC1n1zMFcgnhpVldbZbT4
sWXdV6Zooxv+tJDj5BDZMBZQZcnprMD72+p7N+lIvVX+c+6Y4aHrbe1iHyMQJ0NiIaepokjC3sA4
dT34lzhJ96XdoqKeEM21dTOEu2G3KwccveTN2aQiT/rMv8umxyFke+PmbLfs8RF1kOnRQbuAlNIO
8cXZRtrNiLArC47QIs3PEnckt42PzeCCwCUsA/KxW5VLf3DIKEjESbZa4ZxnRZTYWtOD6bEFxDXv
hllMNktd1d23KBhfNbiE35P4zoZk6C8si/iIac4TBKu/bhPWLSIn7KBT20+CDLd+i/JccAIBNW8x
9R4pX0hcw061AyIDNMBualnsZW3ANXKWV+W57srhcq3wjF2ZIuEzGwgEIoefrKHUJ/W8JDPxWGXF
kG+rbmTJDFBvyeHkcDRJ28pgQUH60bsPr86XQzEa8G4LZe2rabiPtX56qM0I5Cxgud2gmu7aaYJ6
4wwoxmqKP7w08Qx8bLLgRkTt8DI6kbZgA5ihw0DrVMY8URDAM9JwQKWk5Inxq0AE8keV/VG0V9wS
Hj0soBNpUN1zbbdL1iKcmkQat43YRxNnrpJnD/Suy1bRoPNf0u2ZrpkTS4wLfm0VtXgrlFlDvI7d
Mwdu1a1BdAnaUEpHvmQQbJi8WZQN2RGZ44h7WbC4P+uqBsrQh112sYMdMJTiriZy+z5PSEwJxQR2
++cQIyx7/IbB29U0AencqToO7es0nJMibMOT8TK0Bky5TKY2W2keQsgVwTjHeBL6Kyj+0leb19wU
/skB5rmQZjUWKGgY1psG1ZLzfmeDBDtxUzEOxZUi5nBlNbup4spVVm1UsUfKM2MzdVp6dmI/uxQp
UicIQ4PAtghFOeVEVm5VHR02s27Hc+p3Ftk3mv0JRPOmMPz8W943b3mlDS+GrfZrRUT1AYW3/pA3
ebnqRds8dWXqrTgiD3e1Fk4v+BcIo/Erki96bXwJnPaTQqwJaYLUVN9kfZP2j0bWGE8qsVP8eaeX
DGWeu2ByH2Sncv7KkPOgLewQ0rLI2q2iDvGmNOD3kfsyPOude1B47n62HDiY+kBwThiiOklKJly6
oW8+lyMpdLmdOPcDZLHbXiMOYCRS+3OJ80137eIV8n6y820/3NaN2bzPR0ayAyq9MHDHrNtXnRCP
IixfWvyuWx9fwK6awa+Nq2lPc8TRJq7scI/oL0mQwKyWiH2Jj0H5Xgpl/EpAKXc/8sUfAtcOd3oR
6jun9tT7xoftDXhs+kr8EAAt5UvlOwlxN7W4821kq+vORnKWUIcsr6NbdyZIy8IbJ/VA7E+6GefQ
iqvtcuUAmXYavlCXFnPuGGh8xLZuYLR/zcNnYyGEirxaWWTD3p9sXIt/X8q6LIRhDHuVNJL/7KQ2
isqxs98PezMqmYUAxoAYIVAJKkFmeqh1J78KzfuiGrq7yP0cGTqy6kkaZAd/9B5km+025n1QdOqu
yohJ7UkpiJaxGRjrLrc0zrDmug9ldsmtOQf7RnfXgPFYONu0hPI3FkLbTRVH0iSz26yDNU586on4
bwQsu/aurkPC/tX+JGsAb9u7wnLwMGexWEubLGaeAloF2gkhE6aStsYTb6mmNPtLD/NNpP4eD8UE
S7Qjdysn1gLtmDn+sRT2Paf30TlRXURmAuc+1Uv7PkvNZo+mdriQVd8exBk1RVx4nTN9rrV+Pwgi
XRQ3nnaNYhgbFh3qOwGI4E+Vm3pQ7vE8dfeDXcZ7xxTuwvf870YRz0u+WcPafLRK1iYN52aLAYLy
s4ijZFV7Zc3rJwgBECV4tGsWLLZNyrqaVs5tG6g1J7Z5d/ZmuQIQseNj2xIlOBpK+ub7yDbbNqA6
y4IuQJ73feHV8Qcqfv6iSw2EPXqQarFTC8QgIkIz7C59AheLFlYb2fctjr/1OBB+SNq4tmnKmmwM
Ag92Vib0245F743f8TE66nyPUK1mZ0x9fCT9m1uRNcRnpBZ5LLILuB9nMZPSL6ZH5M1U3CMIsg22
Y8JeGbQ39BNiMg75UduAbJvALr8a6nhTZDOE3zPJGG4nJA7SYFxYnWY/TxbyuGFbsan2KzKkRbxy
a796IwIJZQg9Bz6s29VbkSzYC/lvo2rlB1AiyVL2SmxyvvXEQXZkHgTyZeUkGVhUUXcns/YqftNW
hRRqqbw4gUtSpIt3Ihfdo+krS3U8BOapS4oQzZoh2wsklL7oRfbVVM3oXdUIXwwjB11ZzeLcNUkm
AmUtUBepX52kXI8A2m9bTlnoC7Wvu7Mzp5HJTFqZcUssZgcOv3tw5nRcaepjHzpL0om96yTF40Tu
4h6R6W5RVnG3G4iJ2yCPpJ7jJgzhV2gnWSNSlsCUuYBc2Gxj+MQ8IX0jWpd6LxZKkVoP4FjEYhws
71PXlmdUIBx/waPWmoG2vOoxzGIyR8os3GR6zpOy12OF4KgETVcR2SRmNPYRN5U+rXwSrlgntodL
tew8sWlMgEwOx9L8GaJo48Saqu7VuEZnC8zoIhFeeZRFOh/eVHzyw8UYZzvoNcZBNqqpAX0EH9m6
NBHzSByiQhrDj06Jnm4sBfT9SBwYP+PcuIs6V78L8q48kWAI1fWnqZ6vGgiT3jDat1f7ECvG0qq7
YqOFsQ8nGsHO3WU67ojE7ozmZSo5MZKj7aGu+u9aPcHWH4L8W3qqe6f5psRmuzCccnx0qsnlf2r0
e3a27qpv8g9WABYqGhwhd2oWcBJGip2sXhsuVQ6vYrfOjn/ZB6NVVxFc7ZXsdi3yHBeGkd1Ji+Gk
hbMaRq1dCsPN1oO3V4XfPcgicPhoPdGpN7IKqVyD+AuJZ6i7B4Vv4QOYy2zrOw7q8vMoaYOmSfa6
Frl72a9vSHyJJ29zGTB3y0WQberJG1dyVF8Z3UNVqS9IkuYHaRoctGa7OjrJQcTu5aiNBLuCE4qT
1uOIGzWUK/WqxxkLlp+7p3hX/NTfGJbu73Eraw/aBN5V9hjs+gPvlvpYq051U5l1v/EatILVPLqp
88LUEXkR3qlsyPdvXfMAlQSEK1oCK9OYIVVIE67AwFY3+C2dN4uHS1jYxksQatGhJwZtWXiW86YH
NbdCtYrYZefmi+khf5I6wbLJiZjXNCe+qVNdOxCfFm6jKOrPedMUa2ij6gPeemtp1HX0UpahBl8m
hUtvjZ8UBCG+1F10U8S6zrPNGbehN3nklVC0ATdnNxsFuxu88ZYHWD8Z3z0zcZbN5E63ZdzZz2Fi
rYNiwg5/ZatNcFPNTB/eM4FXugPr6uGJQIVc5whkHj7mhIUFxVCc22Kq7r2g/yyHF46wVqkJll1w
eh2H6RFns37juoSat8XQnXTbztYBartPZqmZpLBm4efaQj1abnmq/ibseus7kINn04rz9zDPy6Va
a+IhG0Z/I2fs2XpcZrThtp6UtEd8arDyp3IYTEL7tfCzGXRHEQs2UcyYEVXxVePEa/wya8/oInDe
rVDn79Fb+kFPA+Mx6AnD6BP7vdcJZVGgD9wYUKQfVT9hFwmgYCrUDEGv7BJF52dGe8udo13KKDqi
WtvlmH14ThkiQOU5y0qrxM53qfZdAiyp71FNxl9DDHVjbEMFiXDZOsTs0AJCspeyVS9JardJLUTb
z7xVXOGsYBb7H0mw5uGvfZSt1iDalaoHM6yT86gY2ZyqNjzNEWZFLm6q2hqf2esXe19EwVoGlv1p
D2e7DET7016wXviXXfZXhqLiRDI1d2oS+ZvU1QIk6PXoOeh0ZdvG8A9sL4qfe6EUe0sgfilbcy1R
2HeMPJHmVtcVqKkPyXHS5kOcpv6Q4R6G0iX7vgdTcI3+kDbOOzmO/xX9oQxGspc2GSAiG2qTc4Ga
4FBbB3TsotB2dCadY2QlEu+lw529FhaSJ8V7g+L1SzUD9HECQjibuybfzHjT5kQ1Sk+BMbbGSV6J
+Qqg/3lQpmQvTVd7nlnNtv81SjZwIP5jqNeYv40SwfS1mmpjJzQtOrdpbK9y0n1WZgFlXdpk4ZPa
sBOFi6oVSTznuupaFrjk/pHnZSy7Ke74H/4agjrY1i1b5/bST87leSRNNnPiym9GRfWslT0R79Ca
daisOiOvdhWg20Xi1gGCm/MrxLyCnFvOcxk9v4JRdPYq9TT8Tnrr3luTRqadNlRfXf1bkUfDh1lk
+pKPIT1ztGzuAwTCNgK53XOgxSYaabW9VlKXnaXWZS+W2pGdU4p2N8zVzKxAL8dOtZetwBw6QpmC
/jCqYfZituknN+qtEznd2YsRsZXnV7VvAr42asKr1pNavBPDB94oMKJTpLjpI5lDZ2k3nTwnQoOk
4QlFpXe7L1aja2UvyL4bt0Uf/hjupSDGQijqJ91K/jncJ6jl3Zryy3Ag7Matb7tiaac60Rh66C1j
F29PrI/sBZw2eq3bNxeo0XNT1cqdn3CQnjrRa6sHzh4XT4OmTRG/DuxaN6pdEy3F32ThKla9FaOH
wpxeBaehQZ19gA+9q0ckkhR/7FZNUJgvU2h9LxLUKcrkntRklthzEgb5GovIyk+ObgwHqbQr9Xhn
E9935DjMnxK9v0xViWZhn0YeIaxVe1Ml5UMEnVrdkhPQ/FZFO6a9QSrqoWzV/BTEFRmGnpuudMOA
gDgXadp+SsCl3IxdiXDg2ETpWYM4voxsu93Iquynzg3pKDhErPTsMkE1VCtXT4jC6/TxafDwIkR6
/YYCYckJ+WiuiEaaHQoAt2FyJ8eBh9qL2SSL2IybN0O31L03OMpSjvJ90S5TE5lo2aq+jeD9/oez
81pyG9nW9Kuc2NeDGLiEOTFnLuhZZJEsb24QUksN7z2efj4ktbuk6h3qiOkLdDqAJYJIZK71m1cC
LeExTXBSg+PdsHqP0tVYe8VNHarWirBmsOkS3uBoDHQWPEZ2YLZ5LeYIddcAco/gh4iSdGT/46BO
98Ysk7Ni7e0smr7i/Y5G2ZLoY/TkNDHILLxSv6c1SD3P+hYBQyBsbE8PRoYN7TCY/sEU8NmQigjX
ig3nXlQ5fkUT4Way6egjiq89szCpQR9pS2wTtoNX2Hu429apDt1y5Y6J/lrp4iw/yAyDXQwXEms4
XqSFOgE1yL3oLEtWXX5TlMAmEfhLe1k1Lgb2uIunhD53g8KGs1NFd+ysuj/KUptFP0p2L5SDGgIV
Z8BH86ehuKP31962m3VVrILAZEzaLG6DdOdiZXVNm/XcoNtSj15lZzHDRfJwMSZO8iiTX7ZifmGp
lN3KLvwDspWOv8VWdrIESa7XKkNXuUkH0slBrPsXTOzECqMmoE0hbHbZ5s0l4u5rRdVJF+NSeG0v
Pb3edWRvF3LExwlJiLSUaw8lKM1/XyRM+VOcEJGf+WNkuzwr7hxz5cbYkcuOn67OB5rnMFKLO7YS
7VOdObfh2IEEmWuOlj4pauieZM2u829eOmtyjGn3ZOPojtdkMR3FXC3AMy9K0+mBTnCmimjNUvfd
7qatp+4p7oJxmeKTt5fnEvHGWjIyp508d1CZsMc+MLfXv0FDYcTrcE2Q5zokuTatoSYb2dvHngD6
OPvrlVhwVqmFhWLXF8+eFe0mVbffLVOxVgngB8hDQfEIf/BybUeVYxWznz+qQ9bcO6b+RbbL64Rj
jTqn20wXK4N73TWT8z60psZs21TnIIzdk6ULizCEhoZgkw6resBWsnSC/gILs78oMz2/4jU5qS6Q
s7/ahS6CFYlLwQqNEbLDFxpmFRkKLHOTX6iKi7DreM4wKznIttSMowUzpliV+yYC/K2xil+Xrj7u
YxKbj30+3TVVj09QQyxwtOvu0bIhI+IQcOzn2rUpQM2kQnNW1iL4aniZJ/1BVkcvytZ+EowbLwaD
6LSttckkc0cNvHZRzEXM4zdm1QXzEoa2dmb3aOB6i1UTBYBwZhyuNsXb1J1ussJW3hqmVJGyImdr
vUNklF8XiMi3JnV3mKjlT7wk6gMKsbPDLu1oBP0x4nqjag+iz/JgNV6CstQOIcvsgwFPxmmJkOtM
2gvRD9V9pmTuLhijYTtEyfiY6sMfhP6tPyKLeQS9hJe8MJONA/LihmB6eEECFzkZK7b+cLJ7Sx3a
r42Oxa/tWcnJ1QAF1DWoV8VOzQPaCPXCY93DNEdVHry4Nw9zYAa4/9z4U9GVrUZbphvyw2g+zv2N
0OKlO281Wd4vMSTwjsSvTWfV22q4ChXFXrVpY59w8G7Z80Q8LUFR7jrDsMHX0OGLGsBoJwZIikzW
O9lIRsu5dosggGziWt1iQKlr1WronaiGNd3jnSu2s7EUFl5jkzIbD98xd6mwaYime99lw4nIyknW
5AlkD9XVMG9VVaVoUxa27bJM6uoih3i8w/ZTrlkLAzXgezEffB3xDT+L3b2sGp2fnAJ1B+P5AuWe
sH71LFBf8BcQ5+9V/uS3wI9j7JLC/EGFu7JWUywGClRZ9rY3BXt2S/4pcUP8kIi9PAR+qSx48Jv3
rkx+XFEnB/LvK9boZm3dKVPXWIXqO1OL0bSoKu8VIebvlWVUlwAmAXaP7rNsHg2V8Eo6uVtnHlXY
xlboofbIbnvC9F0X3GvaO/RxVwNY7hucqerXLF3J/4fJsR8sgy0vdDo7L+BiJ8PPVdwtlQVJKGuZ
jhNGS71ZHSMFwulmnIvdbAUkD7VW2niHMKZAAKVZyMaPMQbKvVtRpOoyzAg7SmdgTR93WUOiKuKZ
XAgwmk+jnejkgSZ4wH7ur/uqcZ4ba/4F5S8Yi7knvw//vNYAbe5qVnurwGzzl7FMG6ZWL9v7nhKu
HM/rNkoJ7lp3cepKO95UXt9t+cnmrxmiJ+0cuDWhwKziIsb+EyHaO+Hb8QJrs+lLC5KUN1ia3Olx
nJA+9WEr/iXVKEtScPGqynjtYaPNKtfbfIzroj5dhlZqLDO8+fo26y/jfEhKhzi6X3xvUzRAZE22
G34Ii7QcWYuiv3wd5iZVeS7Eqxz10dyMLHCEnqe7j46yIIAV2QAY5dXk59Vqp4F3NbL4S9H7a5Op
4ZTUAz5X7RjeZ2B5lroFCnWsADD0QV6+a1rzjOll+D0zyIbqLbOuq22zVivYApr+je7UmEop4rsx
BsarW44BEZx0eNT7eFhlRWleOiRgNnod1betDqNE782Z0Nl3qw+8fBcM7dIpXCh6JMzIsPRBfSu7
a/igOMP032s2iNuScDBSPHmMTVx+N7UWPjoaMK5MKYi9xzrmbxhNcrfD5qYFj/cKM08Oj4iz7OOu
DpZV3ec7ZilkF+vIXAXzhCsPTRMVwbUeiyqrFkYNk/xf//W//+//+WP4b/97fiGU4ufZf2VtesnD
rKn/51+W86//Kq7N+2//8y/T1lhtkh92DdXVbaGZKv1/fLkPAR3+z7+0/+WwMu49HG2/JhqrmyFj
fpIH4SCtqCv13s+r4VYRhtmvtFwbbrU8OtVu1uw/xsp2tdCf+KESu3c87osoVYhng/2IJ0qyI4Gc
rGS11YR+qDDf4SunF2SCdza86Chrfe3Zj9DewRtdew1WlkhenmVHrg9Qq8ocXTMHoS6zS9ZtYxSv
vhM6e2dKmpWsojWYLSsnjY6DWRSv7QpEdfoaGySDkklLlnKQGnfdyiUUujez8ClzstPUDNVFM71i
5/p5t9CMHPq4bMxKB7pa4B1ljZBqdak0ZVxntRuvnDKtLrndffn9fZHf++f74iDz6Timpju2rf96
X8YCNRRCs83XBuUcMHX5XTFW3V2v5E/SFN7IwBRlk7A20mI+6tRnOYrdRMJmmh2Br2Xfi5kzIw+i
01o8feLvQPOqO2457VHc3vw1SsyRkr+aVN8yUeVV22XhR8Nzgm7F5JEukDWwwZBRwuegSdr7bHIg
8zLGV7z6FAmTqMjl91+GZf/tR2prjq67hqPpmmOo84/4px+pDuhx6tgqfp2qutloZptuTNaGe8KY
yVPU52fHjNQvmZOSYGlFSDw7iM6BmygL2VE45hPaut4DdOPopkvdcR0PJTZ7VfOA+SiWlVMS3HdN
lOyv1WBOHcj8gUpAdtsqEcYzQdLCwfyrR+YYRvTc4x6rso+MgyzpimHffpwrz/q46E+DOV9+rhzx
0e4NwFmRDuT3DpTjUGSjf7BhmufXemBgY8m3tZW91jzkYxwCecH1DFee8dGdRGlmLTGd9/9hFtH1
eZr49efqGrZmCN2eN8+OYf16h2pVq9Ezh9zdKWG56VPVxT0I/R/HhVBJmIF9KdZop8irumPRuJD0
u7x5tWs9PBhJl92FIsrutAT3z6R3zb1sux46mB9+UGBIOo+TbYjbpsQuunYrq+1oZXd9oTsEUZNm
M8oP97yCpG5edmsoIR4yGNCUY9PImsVQKegyGzHFEkQ9IVKnXsa2VhzdpIAH81OxQXB4F03exVNr
0O5RxjfeJ2LHs2kdp6GMt0NvhOc8SvQ1sNH+LuKJWGHEGD/6HSEqdunes1L0UMyGSXlLguCrogI+
V3TniN709AgX674ytWY3AYwizNnGF51Y50WW4Mp84wIoM/7VlDeIHEZN+my60+BcTyhKH2ZmCi70
4/ymg1boEYYLFZ7GfBZ8m6y8jL8QVoGYbCOy5KulvTRFj8+vLqD9zqXYnpBql8V6Ct1ro6wCNDdv
mj9FTO7XX4LVjudwYLJ2mwAIszz48c50RmVPcjNGwVqpjaXmBFgAQKI/IoHvHROl6Q7EmyHAU5Pt
ll+xhv6pCKh5jRr7dPMxJndZtK1k3dKtr5Hp11svb/ahWgRPgdoWK0Hs/ZhPpnNyyQ8vjTnY3aaz
oWQiXnnF5Buyh+YeQ27yo15LvrKyxitMXyLzB8/Hos+ByjkD+cfOJc5aAzeSnYBvo3NfwfcX3lQs
zSodF6MaYX81DzYalzRrFr6D8W6Ok9urJ9CSPw5ZhgENe117yz510hd1l6qnSAOWh2z7Ro6ztO/q
2ARnu4md2zHDmn3wrODd7WF9xKNgu9HV4mIP6Li5uRG+V10O8chzEvAxpvJAmulkdp73REymW7jR
DTmi8aR4leqvO7wjSWsCI3PL4mwo8AaQpMU6O53Kg2zLwHKidakVZyIVT32BdkTFDtRfs8UjsAO2
czciUuyvC8GiTcnARcjz5Cmy5AYRRJqEf83HtSYHQfiEh2WdBAlfbAS2bG1OXrCyWS6vtUbnzY1q
/AmWQ34QXmWda1u3zmMEmu73bw7T+DwvGYauaqarqYapweA2f52XhspLG7+3xZfB89bG7KOgzQci
by3bfkoCcTsPbNq/G0tnCFYV6fGf2uToFnTYIc4VE7WR+WxZl6VgQFZenVKST5OBtGDTboh+J2wh
rfhUBUx78tANWYRfhiwjq6CqCPEwStb9yoVV5HcHeY5svw4BQvSEnpWPok6tqYtcZPDZDIyuf/89
yeXEL/O3YdmG6wjLcTXddOQy8ac3rCgj3I0Vq/iimFG2tIkKbfOywFsUINNbJ1CwQ9fuOXec9kA8
Gf2Cud2JUEpUCzGdk0nxLr4wv/WFNeJTy/6F5UR9I/RBfYnKYiHbA88Id0RDi42sahkWoSA4Hona
GUczGKrrZUutYEHeqOlpEkG6SXStx3ghCTe64zvMvbH90iNvFM+g2E/tqb80izZ/98fYWfcYA+0T
dBdfQjW/AowjtEqv7biZty8J8WQJ9P00PqNdAobdUInQcTiElZM/zHnJVZGF5kZWlbHJz7BSdzHx
rgLhZR2Gd9Dl+6jNiwcMssmwNPX3cVS09e/vlvO39RDvWptEmOB+CZ00xq+/6qqsDYcsZvClC1qc
oLX8ZbJq7y5KS/vU51W/aETbvw1tAH7Ady3Yyo72hEbOBkvs/k10Q7J1Wj3cCjNt1nUA0sUAX3LQ
5oNDZu0gq7Ik2wKhk6ux7ZtIj7ML6x0kXVQemxIv5AtigdjFDkwufakWR08b+2OBWcZTM4pzUEXT
GVGi/MnVxXfyHc2trAVzkLIpgvogq2kb9svKtft9NZ9Z+mzV/Mmwt7I3BDe+NtKq3viunt4EM+QM
DGR77GY+kTVrx7fLpu7rI6g9oJayRfZ9jCp7HRlxh91CVqM01Ub9NyZ9a87vpbpFfozY5j3vsWIX
RzXBlEQlhBGrDDXibh5aN/7O9iBn1u5o39pIuU0LYeb2bV6ZpyoX476cO2SvbNcay/6HGy9v7M+P
qU6MUmiqbagmmzXt80K4R4q6613feB91v1rlVgGiVij99RDzg0eNxH3Oq8jasKWIbq3Sse7SCeFd
G4FFWSMPnpxFZwIHZQs8m0p169wzw0VWg6sZe6TM5AGtqOzk2Mz9fmMqLEbxHHdQnSLUMpw6lsT7
3/+o/zZV68JQ+TkbKkxYwzC0T0vI2BSlY2iR9m5r3ksNqfm2YZb56TD0qPPBd9RYyE32IkVc+hbU
SL8yM8+9lKmeb2K29xgpoUEqsty7KZ3QulGB0Oy6ZJpuvW6oNgXWzBfoZ/2iN8bmUIQasXizqHeA
rkEJJdPa8VJvb4Lfu5GlQo26ayn7q/Sfej/aPsaRWIv/4ZX2t4dfF66lO5rpGMKdN++fXmks4Cb2
7GP1HqXp9yw7E573bocosk7hjOWR+Byhp/EKxSOx+miTpbh19KOGwdb1hBKNmoUsRtMMIjbKcSMv
IAfLDpRs5uiHdxhJWo8/oN4dCgNlMAZorTj97RX+LYvqUM9STWOy7omBgjuAMKoD6IEbptdnW+qY
zG122Gq31yGgvq5VYx7io7myQGt2RAa2zi5VnT7qjjBvpNkQTsTZxVdFsxOI6ELAoioPcmyextex
KXh/ZyHKoN35yrDpI72G7uu02qIdyluQ8s57oCbY0zuA8YiQ2GxixavZ+O671dvNEuYC6iJa71yq
BDFWfe5AbIhwcB5kZ5A1/rmYPEQ3545sZI3XeCNm4CLIb9tBncNDdERT8WICiPz9Y2LL5+CXOcBi
TeMCbLVtBxCi8TkygGRloqFl+24NIMfLOiT4hbvAOlJ6+7k0vX4l6traBXNV6cFwq0aT3cpeXt24
9xIVHgshHjOWmLJ5tMBO8XL7ihqo/dxq4D+c3FSXstPVsWHxeFQ4zL1Ofhf0/SPuROVJlMK+FX6o
L1uUlb8Cc4dRZYyvU12A+sM1ZZ+FfvFYKdWLHNApWb2w2rG5Q+4xPgT+lKwTb1C+NOFCDsj1zF0V
bjAevCJz8Yn3ePXPl8ZP75F9gPXIKsbYDYaCG5kkXjqpRdjP77m/yBxtVS2q78b5AP3nR1uVmdWd
PCCV8nObHPxxrhJ19XXcR5seoZTEmuKXa32+fmmDCmI7qZM9f7Bt9RTACXlLDOyF4nLI9nmt2K99
hG58bb91DRy6pFMr1Jo8680usQOHssgCvgNXgsEIIme0Q6+EmlBn1qXLBjSvE6ihrlvuu4LEH0Ih
CY+J4WMXDd0/gj5Xjf2BhUcfPLt58+DoYF/0vH52IQjcTmbjPABnM9a9i7hbiBvxw+hXHTZ3+B5F
SFcsWbiAMB/asxw7TDh4JZXiwVplrK+RDKvyKVnI3ushb5amG013CRvHoxg0Y6v/JZQi9U4+yZ98
iKxgpD1tsWK+fDTJEz6d/6n66XItjL5VKXRrIc+VMisf10uxHLtRCyyNcrtZd31uXEShNSQ4+Fhj
Lg1zm+xVC1e/ln4/LkczfOOq5Ni8GeNuSbi7LPq592S0lnntIDatHV2JkJe9zjxalorBB5zCuJgc
0WRAgphYi4GiVqM7eci9BjEDL0yXM5rm2tYIc9rb2QwXnse180FtWvgtsX7+ODWyW+WkT+2yj0Z9
jbrRk+m4452tTvVS67t6K6vyMGRau+g7J913TTHdyTYtBR6sQHqSNdlejO4+d4rx9qOpFRH6+W10
yQzRXET23dNIFdcJjkaEWsdXbL2+k2/0L66imfeDFpya0R5eRWkZoGlQb8Ih5edRfcxMA7XyNKYF
uHwYg8toNNJymfgnD2mze1dVhofaj4g2kDLc+t00POjlaBxn/qHjdllJfBIPKHAuIAUZ2+WKAxmF
l5MWP+i8I9DlH+/YLhcP6pC2a0vr9bWsjm4c3mVjuZS164ix1JamrytbGMuEGH1iCQh72dXG8Ezj
EOodq78+22ETae+EafX1XnbIQ9ID+9y4wpi1rPpqIUfLnsZWb4OkKO81F/HsshH9bWw72slrASQB
Ii2/JgiQpcg6vuRpmm0z9BR3Qs2LJ6y/7uSA91D37ZvArpUQNTp4HW5j3g6OMxB7GoczFNj0BBlg
cR2hsZI5KLF5/Bghh/lFhoua1YBMNlWHxXLlEEUIsCYfxDB/Z0l10HxE5IOUamI13j7LemONWkOJ
siYBHXvw0q8GAjplbA3fMCoCWIyl5n03+cjjpI218yJ1ZO517OuQhGfOtew/LJLKkl1xybJ03PM+
TlGseGlhemHSNyAAWOc/Du5c/WgrUpPbOBMtNyDc3EVALvcVq76lVA5IKxvdPRUgZlTm9jlQeS1L
xYBpTO7ttNSPRc+3PBU9is+oNr5PzkxZ0pThlKqE9EzMRHSTTSrI72XRaOU7vCHQR4Gbw6Vp2zeo
uVaSle8TIP+tV0/FVlYT/aYYPOBhw1juptGsN/JkJCGXOTy3l15RkHfy4nEt24M63DWRJp6KSe1u
kt4UK3kZrbJPakK40Mt6pANadCcTYZmwBb3hzcTGeFHa0qBoGu8wcn+X7ZoPdht8tzQ2GF7j4RDM
w/VGUXcuhn1rOapQxdmsLVK+IKBvDatQUOzsh7dRNEgAlIsYv7VlHzviyVJbezE09fTa+HWM21M4
fhGRD2+90r8ZUbYjTeIDwlT+zOFGRgR0ziU79mBBmnvT52n1PfbTO2XojLvJDzMY02K4ZMDmlxAm
vE0c67O2r9J6u1FvctZ6Q1CvvShZVOgnnl2hZN7C0GAIVnylmzjzUcmP3vRAddlhlZVy6/WacjvY
6IDFenmQTR/tsqT2Xs8/igXnpw4zMJT1xIdtq8HCoWuKz04SIttjKt7TmBkJiGZXubh54d+xw3EW
BhQOMrG0WX6fnYQe3JGiPEaq0R+MQTPPauOLM34h8SzLtpZN8pACtMGmZWhvSEUSwW5ZMriqFjz1
MYBboC8xKJI2fEKpwz7HXcl8RaflxcODb3zPyzB8KlS9WjljiueROzS3w3wo9Ah5h6zaqV7W3KqO
zWEuyU45rDSNYikg8a1l26dxZTJge2k9QtrRjpWuTofeTUsMdOrocRpIg/uAL76H+GY0pve9E0G4
8JCeIt/qT2sfxNj1JAh85SZKtIUAKn2wdYRjNRhpHYKVRrdTzOZyraIqbx7HGnWYhb024ds9NRkG
BlXBYxKJtHoqIQquMQYLto5vlU+ZgZwls7qNWwxVvTQxEnVyRC/namjb9i5AS3opq07blTcsMKNr
FUVF9wAvEfzRPDidLPVWL/xvif7oxZP6BSj4HxEQzbehLr2FXwn7Man0epU7VnAH+y/fRP2g3g5K
ORDkH9WbZOQmJVaBxAp+PktL1dsLDNt4p/Lf3tLG5gQpT6z8atTYZHffNC3o/+TRUKok+TNiZbeI
sUZ4LsMxWFcFEOE/nUxPV7GV8ASokeUe+1LfYbPIA1CY1nNWZsZN4Y3jZa6VTcE35QfZEyjgZKFo
xoSIqZo+2b4JJNpXqhvZ62oZmovo2gOJp1fvhh6VO3fayCpZ42jbE9BbT2OWPqFHZS7SVomPbl4H
Z13X/mQy7F7CIM13BTybtYUw5Yufuxphv0JFlYVetwuOetDk903GDCJ8hG3mZrs0qwNsZjmhdi8N
erfrYqjVrezlx4LKfVIl4LO4ZN+vKmBKzyYyeme7N3/6XEiB6VqeY7TDRsee0VK7+h7HsRxocoll
V2yFJx+pxZVTpfULcukvMJP4fUb9koy3+9WZPIBa80kC7sl2CARW4fNJgQNSy8DW+GUKkutJltMv
napwvvp9ikCFHdX3/vxJqR78/EmA4OqXrPJfLMVXvqdl99MnwerdTYq1YC4VoETnZLxM0ctDlTab
f9jkzbGOXCbrr1l50mi6qVoEzgAg/T3O02ZeESgqfAo7CgyEP9v4oFeZ/pzq0dvkR/UZ4T/9OTBi
EKx19TiULH360VvJQXCxsTUGan09JWjGm8gEVSSrM2ByiwqdwY3jEs6g9Cu0SYydvCISkaAsipgk
3dw7htE5xoLmorErvyH6E57y3Mt2QYLPAqs1hD/EFB59N8kXQcSWMg8H2KXpgDNWYj3KEf7wguZb
9yD7A2xH+OzmJGuhxqsoHdXkZnSDZ6d2LQRTDHbjqrX1KkOZgYTOEW4p9KC5WitZtIvjKAJvRNVN
ygF5TdfeyarZWDBDi0Y/BM74wET8rDtWdm/HXXYfs+UAiUkmoyt4FpZ+xMMbZulB9oIYaW9/fwc1
43PmYc6Euq4qiNVYsITEp3BWZDOblLXTs8Mbxi0BwskgezsxMXop4lgNZtrRbStU82BVGT8q/q0Q
7TwSzdYoLl72VVed6L6o8vi+xMR678SiIY0YQSx30RJVESbe1mqorMe86F7VjhdzmxrN2a8d1FaK
aZ8oevc6df20mwQwzgBxuNfSQHljIgR2skwccsCHX0+HHtLsnZpHp5+vVrQwZF3HKm977EmeR+DZ
8vS6mPKbgiw6BlwMK2c4RWam1TEFffri/PhM163jg+Nm5lKO8gWCfhqz40FeA00kkprjSnGiYTkQ
CbzoKMxdCswXfKa300eTK8DEGAOibbJNHjyseDYm6rrXU5Fz1o5mab2omOgeffwVd7mRovc2lz7a
/lPp9+PsyP1xPfev0qerxKErtkCnybWqd3WneNsoCMMlG7Rp3qVNd1oaJBvRdvnqo83X2mnVtZqx
lqfJjs7Uy6WZ2t32o80WDoJpo15uRD99AweOPGatCZ48X90LgzDWJHqUquvQuUf/PV9aWdC+6Z14
BD8WAMJR1jRAYFKd8mSUXf3++9/33xL+hsEegbSaBQudsK3s/ylhlFlsckK9Cd4QqgnjG8ve1Ub2
CMGr+W457VaMtfau+o5YBrptnEs09fdVMFlbyP75MUf9fpEDHFyAsOJHPh8UZP1XVgwSVFb1ujn9
/k82PmdNDNsVtkFw0zIc0zHFp8CZpal+GJCVep/GYRW5Uw1EhIOZFHg+23azY5scL3rV+9GmDjYW
3/jZLfTU7N7srD5A7QNurkGxIo0AeSpN+zcfvP4iFal626MZ9qCM6dlK1f6tqLhBOpYyuzRYQZsu
/Ey/HZuK0OZg4q+dJ7zkLdfRsE2kR5bkQQ4EqdDjWxXm/wDV0H79FlgwCU3YMLiRcnfRjfscPoS+
lNlu5Wbf2KvoL/nIJgzBObtTyOI1trIIY5BOEE/WhReBx+tE8SdiW/Y2aEWGuFqM50oc38S8mtuw
G4EaOdo//ImG82nu5N44toXOs2WbJG5Jhf6a34LoD1gkmx0SLOZ0kZT5kRSSP3uNU7TnQ6r7+dEr
oMUTY99/apdVOeJjrGxLRI6cbGJiRzhf5NO4j+rHubkLtwjiVYRsrdnfG+ivHwLhvsFtIExTmyMe
ErYvNo5Z0zsPgay6HCD3X2QTgLJhz2Q/IZ9Lp7xIr+I0VTuhuUMxb7hXi7JH7+MiopxLKh2Pj1+1
CMvMJ8iLKF4ZLEB4+Ad5EUhw4ynG3U52irqN117RmzKXc0gIY7IqBmkRzwdZamozX6AE3a4/dWQp
cvILOdDiaV7qGlq3VVvYKP7F0zIwwu7RTqzxxBdy36YdAmTzoRzeIHXFD9d+i+gt6/j6KPvA2ehZ
1hzzBFseq2yQm/UDDVsJQz0mWvmjJNvkIZ57Pw2WbbK3bkx7L3wEdPrJLw6q2xIfGZM7oRUFoft/
H2Tn5KDJv8nNsTjI+ke3GqG6TF5jII/sYgmsTMrGmBcH2nxQgdhEWpuenHmpANInvp2a7NxfVwrg
+Df4ybZAKebe2XAIldCMZCfAD3mRrkzVO9FuZJ8cFaZTtUcYdmQtNS83/tOnat24Dz3zx6dG6aAu
nUGAKkmnCZFfPCQTVAHfakBJEOcK9wy31DnLaq+Pypvek2gw0Ig4doOendOs+YIFsnFC+N48yZLl
mWxSMfKwysJkJzuBE5IdEaEInC7qci2rHwd5RoX07EeTSn5k0WoxSi5Nr9yCVUIvTs+cTaBayq1s
+zgElh8s/SJMbghwxwdkxjApnEvyUCvemC9kkcRaskG+9Ry1QXKM/AyRLqfI1g63YVVFRbVOUQJB
+ALJauJwA9y89k+/zJH46LvsoW4Irfejrq6v1bpt71ycjXTD9PKlyCqiQ2XRYZnH4MDt21MWTUfi
U8mtT5oRZVbhLLzGNF6GQbfWrainrazm+BcuzGmMz2VQ+88ViyrNTcyXZBo7ONW/nGV1lxQeDyvi
JiJ0oddfeZpvRvCHL56VV9u8Z4eW50GB6GZ4LwcgRjcu7MCzLkPodgdR5KgcD27xFcDqfAGnUJxV
BrbrgPaRfmlHc1rIDtBsdwRzmqfO8wsEcNC8jTMA9qGj38gBokQ2WyEu1DlYvhbLOPXM7rF32Vd7
yMixua82M0/oy7BC2xEcWAzHjlW9sfNC3Xw2a9Bjc3fkxADOLbZUaV9ZaycQw82Mf4aahjqeEiiH
UoriDeoqs9H3ktwRv4j3QV2kUIfd5jDk/g9OiT5030h5FHfYtI2nqizJoIESfavNaa2FjXJGEmK8
H11CXwUw112c6cO9jhDkXWseZZ9sqTS7AEAVWEtZJbxyZ5qmdYPtY7CvQ8PYxKqWv45ZvZHfhTW0
3TJopvqUJiVZxlGI69eLVvQqy/LsTTN4qDEOUvdDMJQPAk8qeWamxai0FQLaRA2WSjF9d+0OY/AO
neR6I3QPHcDeQUbUwE7krCZltrQqtBuUDlXOzER+tS6h8sG/Ld1rYZQFzI6uhb+6RvX/Z8zfP4Lr
ZHVbzSuXj49QfF38w2tZ//tbGfMsQ2XdYNqG5X5+KwvhN25qtcOTaU7OOU7aMw4j5ZvWYuHZISOz
ldUMZRGr0onpVSQvl31LlHTsV17uK13M12MXywzNPniMSgRq/98lxbRdFkJjtJWla29p/UP2FCWV
X3fW8+KPzKll4+ELysn4vC1je1OXBTDvR7Pq0QZFGFitDG1nm+iFytJHm/sf2uQ4Nz9jbLoYlZTE
GbI2yT4kfn7TTSXB0cT1bjq92I/ZFBlbbfDszfj/GDuz5baxbNv+yol8R1302Ig4dR4AsBepXrL8
grBkGe1G33/9HaCzTlY6b2TdsENBsBNJgbtZa84xe2aen8cE6GxBLoNtmfK3oe/ywGgb51i7ME+t
9jF1lJyFo10ckjiRDM8cpvPwnYBI7Q63lYEvMfl+vRdFCrkxBGFr18MmfHJQ3bxWKD+3Qysa+5JP
RQ0OL6le9Z71Rxt3RFSuh0lVBpERNk+RXMx7vn8sS1cN0ewQDlW6hILGbEZFFua7GNjU7Ugj+sYJ
p+31aM569/Z6qemFCgiNyL/MgZDtXa9UbPkG5Cs8/HHn6+MppG3V9aE/73t9bN4zG1+vHCaC0ZPI
wMhraOEuStSatcpYvVKldhArVPnx+k5S132guWpSX06G56ErKELzjmwiFXxs7xNQsMKx3iqZfIvT
RX4kS/pmNqXJzmQKOUEFIlXyK5/WOyTME8+JVTPUjS6qvnW59PPidQ2lzxl/WW3uW980eBF/LKwa
ra9C/4+lFBBVYiEw8O2W3pRbkSz1gS2DeKKTfW8YifGtssIMqGNkXAwjri5R3TIJrTf08XKp+GI9
u2oRHZykGbb1yIDTph/X2+mOx5slL5Sj2alrfEQ4bgx2KJc8Z10xam71TXfTV4xoA+RB3TrSa1aC
6/V86n5KgvGXFfe6G3un3TmVq3yJ4etc75ATcbXRR6M5goBPn4qEGtL6hGpkNr6YF3HG4GzcttVA
12i9oQ/pSQPbUu71sA1Pi5R1YEvLvUtHTDigU1/apmwhrFXRs8X2pYq0+XVwnOpmbkwQT3Mxv+JE
SbZdYhSYBrg1qWC/KqRTXa63NtiyHLN4BQQ1XRqSHdg1ca8sWZbdHCnwmvpkee3SPvNVEnpO1wc5
brTpocs9Ke2o3DkFYbfXX4w15+C48RBcH0QuZB50obAPUNfac5OCj1nmBe1Ju27sktR4/uOQKKvf
D+sqbE5Uv/798Hpr0lAVuT62WwOgkjqi6ixpj7om2gQrDo9JNFi/X2TqG9YI7To8ajjNlc1fbrs+
QgmtjZHZKrKVQ1aEofWlntoGqghMPLS0dBUyekiDbh/ycqXnhZVK9JWTnqo5tB6zRTz8vD53bQqD
iJ1FN4X3rKY/r9e3LEl82cIswFeV38mu6rx4VcMoM4kyMhbmrb3U4wUpL5EVKeTfoUf7Az944xSd
c/x5kUgd53g9DukX7UgGBePDJAuvxzwXM6TNtiZN6Od1dW2fE3VRjv+m/1mvi7T7GdV9yGDB8hUh
3pAm780YPThpmHwOY70jTLmMvUq+SzLMU6/qb9m8W7FXZinQjWj5bOfw1m7E+E5A0PelKbU3fTEn
wGUw+CYq8x4ge0jAoeNAPczZQeCxc5mH1BDk5yCow60Xr3e6XmqNjjgrIaR/vU5pcPV4SsxzyOtz
0ORIdiBGf1xv/uNxYiQdLY6XcjOEcvJcSOzYYbNoo9i1eWGPq2K41bRD4ab9GWkZJDsrbh+VmLWy
WJrhKzC72zBCUOkpQVQMw08DVrL6rq7mq6vRKoqkdooXxEmrRaubSc+wDVl6QzM5aOT4QT0SJ0tF
rJ4bpSxE8NvqPP0dkLfhGMXtF22NkLv+oDgw3PWRPJNhr5yuV13vasdwK0NQrMEf93ViwhE1K97n
aWMFuj5Ht7rsFgK27JnwvNw8d6k6bHS3LJ6I7tKxBxvRuzGh0mlZQ3tDVgUZ5KGPcspWSKBmPrsJ
fMbrMzWR9vszlWuGrGEr+s5WGutM9a20kvgs1oOcZehZjksOe26sk23rKGt0A7c4uZlilSRC1Ees
SWEn7fZckDfTeinVankTVU23LwlJ/Hkp/t/rfrm1jNpxo0IbQMCgHl3KtxiE1ouxrapHxeLH9fD6
wzJEYW9+3gn4oqWTBcJdRWZrfqlVyd0AHTQXRv6KKkk/CrNvA93GjQ3SA3hZTHUAR528E7lBVOx6
A8i2KhjdXhzrKHZfmrz3c9uciHHBxVGMw7y9HiJNOxB2Zz0RP5TS0cajlgMIpzaT8lGz+i6TNvxK
rnziy3JlqClGsy3ypLiBHIzcGjLwrl6i4V5zl9mPYwz2ak5/xFiLYNFaDuvGxDyIonn946rrJVGP
ZpCsgYsqmURaJsUNoemCTT/WPmB4lq+vh9frrj+WipWLhy2SFEsBPxCo0X1Djc7XaNnB+q2gPVyP
l/V4aiOEVtdjZvF/HUeyeTXVAixZoX5RkTjLRi1+sEGEK1pY7JfQQsSZaT8gZ7a3saiSk+3I6NyL
tSemdM1zXxYAOoAPf/bveZ6VPwodmWvT6OJZYdhD25B352hs9GPpyGyX1339wK4TComs8/eBTNDr
o7Shuo1mRiu0haHP0Lr7++Kkbv3ZQUVdznQdXaVy7VqWoXI6/bnmRRk1HoRahR9WuRIaFiM6ScqR
2HR+6G3Uvsts2XyxekjcKRnwfpacZ530Pq3F+axYWnLb69OBsCZSCevQYEVWXpK0aQ+9GxhOlexk
VcYPcfGQZ91taUTmUVUs40i1gMyZssr9ZOgR6Zj4Rtg1mUGpzoDJplxl6ODpMPmCId32r5qpmEE3
g5ijbtftcMhQ8TYaXD9dTPKGdrRXfZCjYvCCef1F1+B/FcaX9BNxr3G3lM/k5bmIkYAs67RgCbcS
xY2qhdpONv2z4i5kKUX0WMEBWHsavtLH+6mcnPSRogfgcX1sb62ZsLBwwDGVALo+KaqDKgCIq1cQ
JbuViGeDMSRCS8S5H1paucWNp27HMDe2i/XRm3pxGCi1bBxK+L4Fa3VLkX7ynaZi7W31h3BJ8j12
YeQ8C9KmzCo9KMJ4Tol5UxJeclvShsosMNOy9iY1WR5HuNapQsDkHDPn40AGe6JnzgaplbJBG1ht
Z0PoXhaPqAuyrg5UmHGEU4C7UUb9W1ZCFRzsot4UUVh4ilLLQEZ69ZAiWET1oJ/hbOvnDrtapiU9
oRGxD4RnOqKJdk+ELMJmb/G60daMHzN8nX4+6ZQciZ5DJ1k3B1CBAchO9AZpd1hA7cOTqDx7omKQ
Lv2HVGvjBoXPexQbOydmzWTXZVp44TDXRwr2URfJG2mYL1NqG8eoU50gsyAMs2qJ/FRzO+It7ZY2
0BO7OnkDb0De1AzScwyXtsc00qRh9Rib1ZNldfJoJXTTQ/NEhf0Wcpf9hbH3EAvy54lGF3FxLg07
fW2UfKc540juVtL6JR3TexO939CYXh47CDSqmIw6Qv4w86beMAzdubePC0qNzQoc3ZI7fO5zsZzj
Eg2N4tC4x2V3U4UE4aqY67bOZFrHqk5fShmO53CmKJuB9RBaE+4pjt8L9qMeQ7I4QFaFW61Pj1ra
9JfrD90B7jjVBSmBcYMurFaNkzG3qPkM56aiYXw7IpYJZjsmYcAhKRc9sD+Gi9ep56gW1gtOUk/E
8ammin1UpDIdZnd4k1jcz6Y+Id82+DMaaHB93SD7mB09+ksknsHQwHAIF6HvJlaygdQdP1GMD3Ws
N3qiM73M03RWC3nXYa+8LXokwPj4IXjMRhdkRU9Wu4w3FCzcXR45ZQDnObCn6JutG8N/Gtb+3Mhm
VHNMttrIlTWdMr9j/uJU0VQ9b2RdpZ8TyVAgvckcHNXyvs61kszaedzrDikqFUUWv2Jjts211jNG
lFZXjHC1QOVIZ6DiRr41NLvd0nBhT5B08r5UC3ejLrG+XdaBrMjGxHft3NiY0iIDqIxfu1n9D29H
+3MJ5No8QXitWcjvMYX8xeZKodAtMxyA3yVAsyPMRfuEYicgRz4llCmHh0VYS+gV+II9aqEhyec5
kea6wKFpCf/v5wxX+1Mt4/pqyGUHkeu6Gs3mX737EyJ/feDb+t1liQ/3pG8I8C4/BxGvpqW5CxbT
zTw7hdQiJvHDULKPvuumm350l0Npil2tOmwIqMntWXhNx1CJEZx1ibPV4hqu/AJNsh/iL2jA1Eu7
xJesdTTEHUNylr2e73qSOKzNtbZAVOWrUiahp1fpU9LXj0wR7iaqRkmiWW7tGtV4TXKCHlMTaptp
Z1Dj1up92rs9HxcQor621Y0WDQcpW92PLXXw50hryOpysBGth41t55t2dE4R1i9yH6QnJ9IgAXX+
cLsk3llJ96YXC2jFqnwoheke9Ug7jonyCBssfcn4SniacN9lCSzQmHv1hC7H3BcRo3Op5OnOCvXm
RNOrWXXNff/Dms1bvmy44Jp8M4/wY5sw6290tevQ1LqENqjVqav77pxL4pjtqOx9eMWZl6kioQij
3RGeoNAcSUgqbeflx9///bW/LBk4E+mPWTTxTN1xxC9LhhJSqlNbUfG9cNTpbmjcinit0Bx9miaP
bayz56goWevr2VnVZXxv0db7+9eg/+UcXHu/aFQ4EQ1aqr/2gTXFaSdsv8t3rcw/SHXrblBv5NDl
ZIRKFVLMtTmtZ80ZoceO7U10iGdt2lAvRv48lmKbWPo7wQT9eSIsFzTMrJxymALpXKjBOA76zTIS
C/r3L1v7pQ54HZiIGTBdoWvu2mj8RZ6hZezV0DU535OGk0/NrG9uP+oBwYNAQsKoPhSOjURm6V6s
eENl/AA83fhaiunAvIiplxxCZvhqvChD5VHadI+tM+deKsgmIMzA1/ibsc4U2lNSa+pmjss9fCg1
6NropAnYEyERhnYrA/JT7MMULW1AWVLsRkEhbexyOCuSvFDCmVbMd/4aKlOxdUZozDG96lONfHRT
hyEkligZbhx7pllCGxnLMpGkfZm2Xp3O74VJ4zDGEelnytxv5mhytqUlYjZ55RC06VDjhpzdbdQb
27i0mntj7CSMgdzZTOR2bUPTTJnuXZaCVjRSOls6/G5GHTRm1PlhxarQTb9hDIzb+l0xTevMyG4F
ikJ8ryYIDq2x83tOmswUmsInrHLuYTSTHz2LKlxL14XpNB9A8Fb7qu1QE1PS2DEda0cYugnQ4A/V
INYXQIjRDORqlV18sNdGlslelvTLhITJ2Dy0YzRtRhBmTAFW8ehCZd+7Q/9pgVKUrBh0ba9hiLur
WpaBtwiQ2Dyp6GaP4Xzj6lW2j+tR8+bBTBZKEYVv1bk/E31+ZzgKsbI1LMtRdePCoy2g3CfFl8JE
wEAShSZP5G2y8Cq0IBp/ABuXj21p2ntzaBe/o76rWtodgPs15gg3Ybl07X+YBn4xBP08lU3wGA61
bRfs3i+GsF4NXb6XTvjdbpKYpcpQeJmjuNsMBdJWU5Oeju4wXGzbGi5mpJHvmUanMgcBgA5gO5nD
47AGDuJcfJL8Uf7+m/bXAYIVgGu5dPM1W3f+Apgx9HFZsmnMPsekv0U2rD1qLnL3BoWxHzJuB3Pf
5HcdNDR0EoOv6TOONE1ofmehRlAMUr3bViu/TqJHQZs5BiLIdHh0xie3FO9zNFdPEQ31/yQWcX+d
W1mrGDptDsMQrsk378/bMVtLWtkSWfCpRIBvFpCKY+k8d3nKxAW+dGtP+uTFSlge8OzQe0EW+wht
+M7J3WOh2dbhulMZVOOstBN6veKgj6RllT2bCY18Ci9CXel0Y3s2tOqQUpXbaSJagSUYayCmucdm
XFTPCNsd0UAfM0qxNyMTCFe65pzKsNlReM2e5NBQk2L06frp9e//cr8o2K7nlTDZGQnV0tG6ur/o
ZRbZQ06YsvRTSL3duJkdMZ+E2L5bcW8kVXayJ83e4JX6nBWCovrpqMytdZJTs8G9BIB4jM/GpDY3
lowr+NbaF4fg+jtDKAcSCwelM18w+5IGiVkjQL2YeHWbDz4VC9gnaVRfliL82qs9g1rIjgWf63OI
r+fU9LDI//69cv785e+N/ocpVBecpLZm//IlakZptSIqis/cstQAJe14wQ3sErQ9RM4hYdFzK5Ms
QIRSnN0lejS7+EdYL7qfqbq1zU03Ol9/lC51U8g9wB4slJXYrdK+z+4ZqsJDJdo3IpinG4Vaqujk
JlGaC4HKE6AKao+4Gy8mr+3OBDiUcG7tXTMi0z5XzLuJXtolK94S50CkRk6aJTkOUA0K1/CsSmB3
VY3n2u43IQ1wIzO1E6HkaPm7QYW0S0pYjyilwB5fOcwlFJX2YZTGfk9oiNdGxdpZYP+yPFiy8GbT
Vgg1kaBSMOjcgn0obrqVehRJtybCHiA4QhVemNUrL8qc1wH1/1v0i+VFn566bkn27OciiuA2pm5Z
VKQMD7mPEFz3F+OZBQoSz3b87O3+5NYNWT6M1sDAPTp22W3Oos5bELRuUhJPPLly+G2rIaq4Li6s
IN2TsMvkRIeo9LrMtPZaHE7HWcw/pqTXKekX2jFcE11DvfiM+xrUBUVCj9CA6aYipSOsyaXsYPtN
DIVbi2UKFjmqCSpwn7XOaFpreWsYHI/omdM0NEDF0vzFNhsyLdcEXl1Q0EKQgzdGO7Xx3J7N4Qfd
7+42Z/XggRE5wHobd2bYZC8I/Y9hQwG2nN9FrkQ3bHrq7RRB9W6Q1nnpDDuCwrN6stYfOKQ9Elqr
myis3mEUfTb4wPdaaV0AO5sPZt9Pewea6giX9lZPkFROlvwo+uZs2lDpOxHdjeRs3QFL9VtNPpAc
Uf5wIuZC+0Lh3HkttMX2Zur6p0LVL5Ol6Y+zFu9mUWV3IzsemGdzt2dYong8xiMRQjFOWvR6ezuh
rg6elMm4ku4mZSo/oXifz1FPHWgRbnsXkX/2H9aXzl/WuI6tWYbF/tFxNfSGv4zDA8mUnHVm/2kT
H+Nn8cyyR+LLEm7PGMqS4VaImhOy3epkuVdeGgE8sbUoiAlm3NnJ8iGnxNrlGcD51AI8/pWSguOB
yXIPWbqWf1jHM//dkBCJGQQUHkNcdMab4WV2MZL+EtqebmCTjsZZBFo0g++X43yjtl+zvNgbiD4f
QASUBAgW/RkGibVNS+3HlZqDa2RHdolxsCYaLODLsjfZDnmAdYxZpI/R2PG7RplYWzwx+g7zAN7Q
KClPI1CtbM37LNqmf+xTXfOX4UnSVoK7NqUbtQChFC/F5ySQ8djT0O2ikG5Ntp7CYZNchnSYz4lt
3XVL1fxUAvyfP1Hj2itF7qMEK4bSqvvl8H+eSsn//14f87/3+fMj/uecfNDuK390f3uv3Wd5+SY/
21/v9Kdn5rf//uqCb923Px1sii7p5vv+s5kfPts+7/5Fv1vv+f974399Xp/laa4+//nbt+8yKYKk
7Zrko/vt95tWXT78mNVt/798vfU3/H7z+hb++RvvpYkSUG8/n+7fHvP5re3++Zsi1H8Ith0IKKj0
okE1OJ0hBV5vsv5hq67JQs2xgbFogpuKsunif/5mWL/9V0tO6XpR/QfyBdOmSIxhxxL6b/96u7/D
/n7+nf7f8D/d+QUoYVFzdm3+WaqtmaZu2fymfyerYe4uRFiKfN/K6rNMgaItPS6H+gfo5OOkEOSL
zu85kfUNKWO7OabmJeKhP0LSO8/sdJ04HzaRoM9D5JpK2jNaQDaM0X5UViYKtJWwIcVFa93Yb0ft
XuBSFWPLt6k0VL8Sxg/yzKuA/vrnYtewGhT3lBoDhaCY9kCZgsVHNhK05gCSD1XldnIUFIoxomY4
HZtc5hXrfqbSpcVzY/QCpeKXUUtZPbLAbVMaYXZp3VUKHO8+I0DJNtqzImexbWDzezxy8Amb06nM
GYd8kKSsZPp3dl0RdVEjaNkZqCuaJNMvRWl+1Zq54AkBaqSLvZ2Bzpl5fBeuZuy2LY7SlYd5Iaoj
S3uxqUpxO7DcTzKbzGUNdds88r1HoLtLTDLV0zhm5T3c1yGNTuGWtdck4sMFg6tbdP1V2olsF9Gq
DrW18CqthzTDlWIhKOuG8WbJTmWxLAcTcKVsiXpaJA7vvDJZV8yoQQn0Bo2xxPeKPX+aRCmkkR0k
lrHLCDChTkL8vAYbgW415tQRw1rh8V9HXEkHmvDo+lBLbQn4rIgwWV4IG4IuRTnYXuOONBiJm6ar
13JeVwGs1fy+iamh27HtSaPEN4tqjLnyuxySS5MpP/QhDDpSGNV0R4QGnnfrg0CHfV4Ur0UkOB/s
XdRbH5kTjT5w09uZtxUuzZ3Td6+hNJk4Cz/pQmjgGTXOVLSNX092QOHgfmEREpDx/TB2RAn2Kowu
UvpMUs/777QbvKzrX3u2kDMNYg/C7N5uCe01CCmVrXljEji+qVePCQBY4qE+u3zeCoeybZxlDwz9
3wnUW4dm9oFyLRwtqPrksStYVUxTHgWzrkcnqPMbITSXVKW42YqhPQxw2KkwtY9WiKtYnT8M63Mm
hBnrpupujCXxtMhUN1nIp05TJtk6WnduKxPpkMlXJhzzc4XQbKv3obaVhaVvW8t2IXjND8g15JZG
X3zu1fSAh7V/zNtAdFm9Z2CR92N96phtTl0yPU3ggfdKOvtGq3SU1KzwwNb7y9LlCiIPQgymdks2
ZOSJVDFPQp/Ow2CgVVAkwLs2ChYHuRL9oolFH6RdEesnFS8n+XTKsQ5XE0rfU4jtOX3nsH1qRR8f
4rieg6Ifv5IdFUbFhoYHWpR6Yriwy3NLp7ZQIvcwz9ozkYqQvR17i63vWLNXpI2S3JQl5y67i2Wn
DctbPLhyExNjT5rfvG3DybeVcabKZd6WhED49Agyz536fRgirQgZpRD3tfcDULO99p1sSfdAmKMV
aDoe0D5B0F3G4cadM/tUEIZ2EtV0J8DQb7V5GHzusI9kHe4VW+ysPHZ3o6YpgdrTZ9XjEetoVqNh
w533ZMR8NC7x5EqLexgl4TSL7JZ+MYIANz82joX2URswqU9GG6QpktjOUmC1h/XWdr5kiqtdrKoP
sNVuDTexbhor+mi7bIBvp7+MxBfsSxiGOJrrmrBGUj34Vrg+qDM9EO0otnJ1kMtSeP1AJGEXiZL1
afWW9461pVHXn/IqmJqSdff0QQR08kTeULBoTbqxx0Gyz+7UvTnZ9YaKN9E80rmBTG549qLwfqKs
8+kZK85pAAW2lQs0wmbd29nDphrcM5sLh0frqYe/ttmzCfcz6OQMlvYL2lriPxhoBhqbXqtn26mL
m4cy0g5RxoZHrTB1u6O99vwdmidF7itIgRB0aHv2I89GG4fb2XV2hj2VMAPbgxknX5lA5UqSe0iI
39Y1Z7pXSUuLF4PAS3tqbkazBWJD1gV61UK+dEXxjcroOZ3M8ZaiG3oLN/yQKXsLtQHdWjTxmfB1
JS1IE8HavWGfYflC054hI73IRjG2bZGcek7+TZuwQyeMKEeZDC6P04D2ZXEYG1y+dAz2JC3OrDkL
RDMg5bZEwJwEy/xtT40OzjParSR+U6ji3BE3foxn1dy6Q02IoivkLmqnt9jpSd1woheSK46jmzg4
VlHQV2xKfEsTSdDpyoO1tKnXROqt5tYPMRUV6l3t+MXU2+ViNs7DACDuOHVrMSEONc9wxjjQSP06
EBayPJeKegevdjpN7EKDCATqrnKXoEyXOAAsOX2JK+3MhNbu9cZIjnN1VwD92MxsJ/cgPNuTTZmw
1eOJpFDqEjR2sdCU4CkpbNCrdndFWF7y1PrW631ykAI+L5W2N2tsUj8uNDqyM3+/YibvIcKLGkbz
RYfsuumsoQ9aq3xnrrFfF8d8nnXI/sN0ypuk2BS6+0jSeOnponnNlvxjMCiPIMBxAs6l/SKWLaRD
lzJ37Lly7TU435FHALK07S8pLmFPq9LL6KrVcTza3TLsYsOF4Whiio1a02cJvJyqnixsZXgohpSV
eu7eirgaAsNF/OIiGVkBUEEu++wiUvOM44p6b2XqrETmC40oEfRKozyRHsCIN3dvRJhkW7NWC4x/
WReotN74YKOI+diyArKq1E20xIoP4hwYZTXbG+Jw3EDaTXzs07hlyjrMqaWfp2bc2aUCecASB9Lb
Cn+gG3qx83xfDxAGaLJUJdOJjqHmNCX0ju03zNX0IcrqTXXz/qKvP2a1/ibSZQszeKLbH9CbrkAw
NvtKVrrP3jbGHapoPspCXIii6rZNKflkXH2CnSDzHbEJXzNlYCCxy3VeAq1LQQ6Vmetggs8w0qa2
vVHChdESszRWuDZ+jZqXPv7Rdl9nl6q46rbDrnHqp4iO4UNK3lJsNJupceSOlK6EHHfsmbhOWn+c
825f2WQcmXI3245gqx2xkJuMCtHW8qISz9azwcE7OilHXZZnzawWv3G6BkKj8y2O0t7X4vVvnOXV
qU4fkyY/hQiDPNp600Gnlr9x1EojvDf/ZDlE+SxC86BmIvRIzo79JdWYNBf9FSHzsOmgnQSGovRb
ihtxYOpB03S631XWAaL5USUs4oduErDrQDckn9ckNnJnk73kVcPCGqu0MdWHg8Lqa6CssRjhPjFZ
Z+vhWG17nf0ZEVgfqTCivVFZIJp6C4TuvE/YqNY9uJB8vAjNnk9qKMX9espUWW7dT8PDWCMCrhHQ
BIrdkUVcLDUVoPnocrL5Zg/9zNUbJuYhf+gN6Ewxq9ttQ2zTREonG9JwB4kRJDYN6t2ckadCxPS2
mgvAW0Ua0Mu6V52uvZN6U952IvMWrbf2aFOehEFAi03aQjNXrb9oJI+ZsTMB6TVWOgly4zLv3I3m
EPve8dp2NpU+H62KwylQvXdRmZ0m2y29MeFuQK7UjRlnm6rQ9VvX/irjzgnCSs/3MDwKP26nLxFV
kVnqb5bBSNCNceGnAwbCbM1YwGjoKzOTNFA+zRdhYW6qiqlgUuVRWyEpBB4Ew+x8HWbkR2SW7xZi
bSKq84OGE9FqesN3i8PE0kWR6aZI3IesGL7ZZXtAAJji3wnPSlV8qtLc1/VLrbnvToOHjMjgXtcP
2Sjew7H8jJF5W8mbK/rbOZn3y8B246VxrcEvvw2JdVCibjdFBmpx98za9FZRzUMYEoUcdrfTNBL7
qwaRU611LeVssIjocWMLQ/rN3IIkGXddIvxaaXfK0mwxTOw6e3mxJvLHCP9DUUJ/QnVdqtXL3jSs
B4Nalwda/N3Ccyqi7mZqq0fuqOT+gMtSr+6BZz0x03ZeguaShbeXzy3aW4OGQUxnqScDsB53egfN
pSNx08N6cUYuZNUv653omzwjb1uD3o9dOj7AHrsRqFtxsGiPpdac2rUFlmguQao1M63hnvLZvi9n
gZLU+dGT7B1FieUj+6iqNUapi/1B7bdVTiV4Mbd49h9x/b2OzX1Ea5Mz9qmLcMmpW0UTm2WJTrVh
ftrmXWsY2Kb5hdib99rAvgMHzcTt1jA3dJzzl9rEGMzvZUPtZVp7JnTpmfTkKCjNxwZdkT/gYRgV
4rzFZDuESFQE4xqhp5C6LtfoR+JY1i8ILk0ESQ6F3Tk5OUlyKEvYFHFU+HOV7OeOlMSmPETGBFta
LanZmO7OIh5i0WmZm233UZpeIuBtkt7xMpBy0BUaeIr2y9i0NxOqN63+1jbDswI1OXtwQk2/VAra
IWv6UFzkluKr6TivYRyHKGOfip6EhKz92prTBYgFcbXLTdxUO3OK6aaV78as3hEufbYbFixQj+Fe
oLoigr6YxJMN/WSHqOSLE2VnezZQS/YHOTzKbkZNTTBjWW/g4xkrJtGvNGdjFfmTNeT7+LZqmFyX
sNoq0sDI3aCwUwrs403uR+h/1iyijLQewbchBRvX3Cm6pPDKmVKR7deopJ51jlV77eTeIgZiTUkx
jK9T353oT7m+7ZfWSO/nYajWL6R+V/f6kfK9FzFEELh3jnHzV1ruqXX00MqRD6ObHqWYn8Qib5w2
OdooCNNOx31tXcaCXOWlulXr+bbRHennpbLvsEXXTu1pbMPsJAlsxYLo1b4OluMpNlF1o0Wmkmkc
acy89Zl6jxjKmTVCSezumFrmg630X9psODEI+cPQfqqGeTIVegM2LclluvBOb0xmaVI4PFWTX2fH
uCizuFhm/ZlNT40m72pVUjXQScZ+7khKbtA/sr7zTCG+V1EdgMi8I83lmQ77AY134Er3WPacacjx
WbttaQLxCTCn5lLeNZPYR4aJfjgTfmjOb8QmXIfMIje3bd6+tYr6YIv4m9oFdihhsfQfZZRsICc9
yrJd4Y7vKA22s9IHzdA+IS6Ks/wWUPuWzqJn4s7opMRwmtyXRbZuGJ95rT80K7y3+/Criv9BTF+d
rn6JGOCWzN6Unf3U5Pb3LkbYvCC3HKT5rGrtd7dT3iOYFPjHghKZXum6N6lGF2D8+L/sncdy5Fqb
XV9FL4AOeDOFScvMpCeLEwRZxYJ3B+4AT68F3r+7Q3+EQtJck7x0xUsykQef2XvtRK/2xGXQMHCx
JCQWN3n7ObgUb6l5rQYDxUf6bsXPda8VvqGKvZjMo+ySCyPzczvNSiBnT7B44GW/VP1DY7iJry1/
9ZmXnNOpbxD1MzLgtgq4CVtHex8G96UqrKhXvKukmEAw8T6z3+ZMw8g4XccNlFH+Anf6WfOcxJhe
x4YETJBuCyt0P/YAMiv441R6dGt84sBIkANoodLKyGvrk2LLe5uc4qpK973RHdQB1A6NhZFrvu7F
T3meHnNT2yf6Ag2CS9uWkTXeSw8148qPuLI9pyXSle1YPDgs7NOiY4ag9GfF/HCuDBpvrk41wnAM
tS2kTn/JXrOudf22HAefFLU/Qk923US4WBGbtO1maJXSInCPAxPSmIaU2TdHMBOcrohvhgDJcrAo
8k9V5q8tBF+id1lVFHnNjGR+WGpcGl2hPAtum8As2suCepb10Q5PwuvaclWj/tgjdtiJJT2SXXQd
PJIluofCMnq/b+tfvYH4Lhc0bev9akIIxeo5L+rjDOCwM7odCddvnkQmZoiOwVdNZ4pr3ihF65sw
SXxlnrFIHJjIrXTEHBxMJ2CzEsbUzmhSh/5Da+wHEqBW8qbrrLxVQ3W0FXWvDfOtnpQbdv1g0fpI
K2iNZBdaxYs5Ny+13ZLIRVgdRkHSLYO8r9+Bzz8T9PtkttL1u+XSrigKZpRCvgE0269yWqLGIol8
DKut0Ovidd/QBqIBYION+goqi93sGeeESRIYunNHENA7MktJhmEizUfLmO+FU7+n1U2BnpWb3HHp
/lSPrdZcHIQngtF418qRMtk8b+5ktkQksMWnPBUb+OMZg7Aw9wlnxIQPgNHjFQErL3v4jwPlucj6
D9dOLhTAVFpYQMDC1pP9YAkS1LfvVatg8ZlS1IstgyHD3kMIr9P8EckY5cbPhe/MyYHCiWelFOFM
yIdKR5vE498eM0jdG6Q/N3gAsOpo88PEbzdyo9Dqs4Qu7Krdd1KQ+LLoGoCg9Y0MyYs01qhcY0qc
6d62Hf5uSotTWVZBjqTUkfJue766sfk12dOrpw8f6MyvQ2ft2xLlWRNh+3pEbIZaRWWmZi8C78mf
0kz+Zuw9B7X8jB0Nh48wiV83xkcCxKjc1zwL416HBxTXgZYTzVTz1ZtUzTZx3A9GfEsU56me4wdN
H04u4A0/l91KhdU8DeJpjQNrWDSfTDtupCMRg7I/FDiLDhq2BCbZLFNRNlvjvO7qlvEk+ZhcAkw3
1450MtxpnYUJRJvVyKtnQEXO/JSbH6yKb3SuFEyAdFxneShBPnr1U9PjRy2m9R3FJ+C0pt2rCXB+
u76piv1r0BuESMMUgkz8U/TLSY7fSYciTkyv5WSbxMgrRI8v5X42PF4bGnPTblzLUMm7s4iZK4wu
QEBBVx86icdWSr+OJlkVw0S0UD9dGq7lU2nRoLOKDJxs+omJ8JUqUy9MnanqmiWaMWk6K9PtpqHG
yqmPDNf9Ww41M7BBP8ClmqJRidW7lfPT1qiMLIy6ppF694OpMrfzOOpIm6h8MvVWCM5J7AO40bHq
k5UkteVIB+C74TSQyuCVJNhrff8kG11Es5sAfOuTw2jDPuzT5JmO4GtNzWLX9TliyImReVKCLRSp
7iMHzy56uhS+1pnPwLjuY63T97Np3NuzecO6VvoeWKHOKy2exuR5VeS9GdevsYVn1RqKPjTkqITp
0JmHvC3kviybhEx4jbq59kgFwCyO3wzGpHCDYu5fx6L0QnVx3gDgGbuslkfBfUuY9rulGJQ/tHoZ
tRxwoy2dr3u0FPJ2REtelD6yd8b8sCNTrwxETz/lEhvlV63YApa8fdcRFDhmy44x+3D1Cfr0Qi/t
jmJzqqHEY8nwKearOa7BaDovoh1/ZIiH2jmZVhVHqq4ogcmJthR7I7PsO8+xqIS2Hc6WLO3X3pZc
3xWBkyYzGVA5+dxsUJdqPFpI26jfWvNYoPXafBLEtXRumChqNMTNcpcv8AT7dGx8XK0zw8H4w5op
TxNYbIHSC2ufOvSc0pp9lAroqOyJlOLJQd4jE1+f7OpsNcVTOZbf+bQeWtKGd8i6Mq7UgZuafZ8K
+bdycXBZb1XT0AFgvS6NFyU3X5tUJ8DNUp767UoWgrXIQPimv2gQMMrG1aPRRdeQwFhsalb+wtml
pNj5Yp3JoeP2VI1pSKeayiqaS3Gf58az1JrXdIkS816sQCfa+taSbYEOHzTJBMOlj+dfBMX/Wc29
7VYHu8TS2MA6oPonuq/8RsISlit4Jo1cw8VKGr+Q9Ws7k5WlgI0fdXKFBxDH5nJR0W4HAFYa3xRz
z35bXBpiimfjt7b3dPN+ddsvxDjh6CpdyGCZyyLJ90XcP9JfI3QbytfR2UaHZEH6XuqFiWb8KVv2
YdCIM7/FQZlRJFiH0m2junJCNVVA8hhAjEwMQ8Wh8vSjZOlgKsp+ls7zBPgm7glLzRp/xeZvomyy
E+0lzmzmcYp25JZt+Vwx13nja7MwPGyMx3iWf2irWF2N5Sch7eixZ1ZFJeIzFRWL5qFGX2c0ddrj
nGd/VGLokqV7SnLjSxfLJY8Laq1a/lbhZxfu/GogIBwdJ2I69KLO3H088Vtp3ozJTI8xd95+sHHp
8kpmJK34YDyrHVdjCrKfXxYlIt1FV+Qni7tiHhs2jEvly0nUE4qBR2huAUMQwKLyypLrzWZa6K+2
/E5T8ZAx9ZvhmyZl2KkxEY0i43YhnvBPPuvVeNPiDeyXPjRjiYIjbu/mQT0yYZ7oErOOm3hVRzpS
yVaxT5gsWYXY4shw+g9w1UMhkxNdUrhZV4Q3D7wSiLidys+E+j4wY+thLua9nDrYJTPfTDtKe/4u
bcLm4uFdBfA5KGKM0qp8gv5Q2Pmfpf5OcgYaNXWjOTBOdwCcV9pF8exINxTfMNbEl8t4FRoGtWVd
DqWQn4j2pN8vjurjLQnh3ZeBPblPfQb52mk/DUmrBfiYOqbkolvldnHimZqwKQmY1aomcRe130om
Tgs7RbHqVxO1cTY4v7zJeyHic79aZeFXTYbdbKYYEX0klerehdPnV2J4TTpWivm0716Ax91yZ3ID
T6QHey1LmO3NNwTWoybr+6leIqhxbGXNxHcGzAJMFQ22FJh5TbtPQ2AX0+nnwSOF6J+3ft5Vtnf/
7WP/9u6//bOff/HP98v6fbEYrJ4ql1IUoR8Kj5268icUSEODWKvqk0eUMOjPxGTFvD7WeVz5ZumS
DbQ9/Lz13w//Fx+TLE9KP2Ys4sxZcYQM1pwWAFohsoDS1+oacvIaN/88/LzrgbA6OuuLUEdYa3mi
N6dSJbXMd6WTYFKpdF+N23INMtegL9l+XFMCyo5+3mwrB/bcz5vroN1i05W72M04lL1KVqefByWL
//MtMjQaO7YPRon3R227o2uN/Lw/P+Y/bxbb/+XnfRRF28Au9p1WFOjHLHGSGFtPozb/6+HnYz/v
/nzCcZOJ5/2/Pt1vbzllUW7KthknkNuozCz5YFu/mmhf2Ghm7YkNWnsaTJ0bmzqjMCjS7sQ6FWTo
9tZ/P/x8DA2RcvRGLITTfazMf8pSbY82YrQ0dos7N2Ec5xjZ18r65mo4xUIBkA5RNid1aB4KD3Mo
FpDXkhSfye2ZVenzdzG4M10qDy59T9kjH2u1ZQk9D0jfyjFpWHUcIo8UQVFoMYpywhuydjkJk3Qz
oXK4LtO1ELKNHMuRAZbrX9Jq0RxxE6Rb9htpvanTUp4mmoB8tZqrUy15oPfTEq2NV+wT+6iUxV/V
6U6GdM0Tkvbl6sLRdvO5OOlmjGCsSU7q0n2JPCXuto4Lems/h2p9hYsxXkF6epyo9pktQ+MznI8a
azrCb4kD2Wv8b/Sm4eXGkwmqOt8lbC6pSR1uVa7SX5sF9kfVV0w+dPWozCp6cq2/TpYgNhLVyAqz
uNXX5kgd7uNFK8uLihkrIWP1OumGcV2GhFe/sVlR7NtqtH/xZGYR/2S8ViQVV7V5EeDr91zY99kg
3SOZdHi8Sd6JWyNEI/9BqBZrvlb/7vWhutQN9fvK8mVMKVn4b+7KmGnBwl8VukM4pYKT2us/iTSG
3WE09U3p1/q2Zn9R6loox9cpJAHGJ1+xiAabZ8XqY0pcdVijoqjqa+o41VVVntkukcWyksqStiUr
FcZt9arJ3aQRx0N/7lxw2DoXZqRHGMmPekIYLSO25c4+4E/4SzR8sLJig9WEorMGFREyySMwlhsT
pWq1hkVHK8EcoIq0lnYzrZarJlkI195yl20/Cbsnhe0c5Y2mOlj3HDhi0k54VkY5BF5bCe5EXong
VH/nfqceGNM9U4BE6vYkslFCacJCpWInx1eleJiCAnB79POxfz798xmrcgjqHfEPuGeknnVrlH41
V29o0/+MNuyqqqN2zZsnU0hGaOIap/YpB7csZdAr8tPujG91zJ8XfLpFtaCo6M6zxCeBx9AfTO21
MQqYEF774eioSDUsXqw4HucV0WJFULupqHfWQKWo2ZjEt0hZBap6V55aI7vra+q8vNuBlWL0bAhC
9RKsWSr0Bez8b2ajH6YCf3up6mheY2TNKRF1QN2YIijeY5eUMmgyyNi1O7FB0aZnj3uVIt2HOcMM
uMzLfaf1LQOtE+2tb8iGEmywXuFPX9yl+DUrJmUqjSepM/dahXRGE6fywGqbskR6UWxhyJjz3vQt
o71VWPdZo05GOHlAEESRPbVZHJYjY6vJ6QafWFwIzV77e+4owpxK/Rjbdl85CDDJLyANRzu7bsGT
vRp/LXo7v9MAkFiJfCRsHheObJj0JT0oY+2o2fcxWubAw2an6I08zwAjAllN76NtPJrr45py2eCG
vR8VHSiXh2aj3OJ3dRx3BLUpWSapIK9qNUgOQoJtVriT3aS8xS2bV3JF2O0WDcr+9TMmeovGVTxi
pIvm/NGyrpz4z95QMx126pdFVKGyYfw7aNCjZT+4Wnpsh/y3qd3PJNQzJGdn0bjDR43iowCJuluQ
SFMLfNdt4x0FG5J7BQRq2I6s1GAWnbH5GjZwrDWJixBs94IGJCfcTjXDioBdQsr30tLv1JyKsteP
I4swiTvX7wfPn5u6DTTp8oTS5BgZ4k+jWZFmqDDwsvnSkL5JFYdmUK2Dsiq6iAGFDv6x+4bN/OU4
UOchv+zV0WAmmXtPS5/JA6lZeC1qSzt3CUldmv42EqRmWP2pcpyE2G2J9r1Q3jTl2lGftQ0KFFN0
f4BWcUwjGW7Tv5rGue+oDQVieY8Np5104hKXBK2YkmkEQKroTmmglbTAo80dOO3X01ZK9oZ6hldW
MKbImsgWoxZAQOelsPRAvgYm9STM+rFFW4Z900/+uL1dn526RqpG8+MnttHcJOMEX1/cgwMX5EC3
Wz+Kvn1BMfWFKPo7H//gCQM3pIMexpVz4Nw17yv+WJXFUK/WkevR8bMPkC9Y85ewJDiB2dkw7D5V
qx53HePlwYYGBhqrwS0jbxq5y1Fns3zsYnSBRWFYd9ZnqhjrzqKj5Om+AXexfmHr/u5SosWySj/W
YECiXPZBzYbeF6mnRuus8toemBXa2ODIjgzTpU3YaI6KXw0xMctGi2oYgAI/Ty/DauXqwo5NnElT
RIouuP2iCI6Es0Se0v/WpxqfRbk+K2t+5ERKt+Dcq0Ue5z5RtafUombWq1pu5P4pcMbukA4m9VuJ
QlcpZr/PQd8R4Fgw0rUvuYVEp4nvVNfEkdOifPNKJmO9MDf6G/V76kaOLki3U7293YoHxrLegXTc
W8ZSSlgpLn7sEgabishTk0d21gcmQ+41cZQtqaxVj3nargRIjtXBaylcXAKTWMk2ICvlfDKM8a/d
ra+kTk98b/tk2frdSIYRQb+31Oz/JHJ67tAeUKiJcAKJGolY3Y95fM+Uxd11Scf0eVgCThsTlTKW
nTjRvoQiZ2Kbtm6hs78bJsA+RekcSX3YSdX7o2KfCSbcG9Q/6u+4wxqJA+xg1iYRUwMax6pkPBHT
Umc28dFdfSz4zQIxeCJaXC0+K8l33RPHwZln4Ctt9XPGfXdXSPZNRaq4l9RVSdEslVCbITZB6zaj
BtvGgYi6hVWxoRxUpx/DxIXUNdTqDMeGWQ1mfUqYi44w6ZQn05XpC4zsEZ2OOos46rriqxxHEEw9
WvDeRMo1rW1Z7yo7F6Ez8NMXSpYjPUiq09y8ScXKzv98ZPvwKrYuIH2GSwYhTh3HIEYcdrZFt0E5
217uRtG9/fMumpO9MDViNwGM7WiyWS5uxR/xv/K/Yn1thsiHycqj5Ycy9AMc+nlzBXHvV2VShUat
vdarQxju9iU/D84UA7yvx3feGw7qnKLRUMtznyCNSLe3MpfWZaiM48I8lZdgfSTGsT4DzG1CjCqe
X8crrf1g2x2Hig06Cj6h71jshR25fixVWnNsdfWZw/2c1k4e8QTdtfz2Z7E9dEo871JLefv5UJG6
cYCypN4CUcziiOMgO3aY7exex66coOff0gh/HiZoDoFsiQpxvPGg270SOsLm9Kpz9TSXpgVqJclD
kAeMqkAB1Iu1T3jG0QMqyLBqviAnxykcNoQowX3NGW1J548cgVzX1ZeWCHDJRXEYM/JWhWS5CI7T
Nzvi2AuCQc7IHfEECaQCVcblY6ko8TKolGcjwYqiO/lv2lauB1Sk55n2JKgli4tcuH6pSQYmtsN6
yoRLymwBx7A6ouho9T1Q8YZSgnyr89SqMCG2v3KfjN1ZlxgAmiG5G3Kqo7FKxLm2sEVrfbKdLgmL
kJ8POjlBlerIEDzzajp3R0Ru3XHHWNJz4ZrMdn7+hxkTtw42mDSaM1Et7TmRLAzGPrt0iYdpHV/q
z8+eM346/7yFn9oJx5wiql/ErY6r7EFMvNI08VtP1PXosfMt9QzK5eQch0YlZKKbz6kJ5qtrqWeU
dbwNFT9Apsp3nRV82LmgF+re9Vd1srfb9kdnMwHrO6tAkUI5t+g2hLFkt85jeWGt3YYu+U3ohBKF
tBfHZZpky4TYwqSHMTQTEMkePhOAHuBCPMYztd7iwY1K7Q9j6l/zCiG0ooIMaJFcTmvNVdszMHfy
/B8f9v+3Q/wf7BCGrW92nP+9HeINZ8P/eM2wRNT/qyniX//yX6YIx/kPR7cAc3uqi+fJVPFi/6cp
Qv8PGxAShgmP7QNfwKf+ZYow1f8ARkkr42JhgLO7Rdr+p0nC+Q9M3baqOlAqTUiP3v+TS8L6N2a2
hRN0M2SYluNomukBmvhfXRLJYs4ljsT0OCtWTq/ffFdT1wf6DJd2E53NhkGQHUI89ivj5zASrbUo
d8WsjdcJ4Y5pH4mu5FxK9tm45gERtnFomZgNsMntWtv5zPL4NkqVJQpIlm35AFIR8ty+JKzQn5MY
Jw+MN6Y/pJToqCgDkXhoRHQB+Xle3+ZP27TaaB07XrTrwR3bmY1OiyQXxR4KxG4Hxz2aBiNcO3YE
rmyOponAe1oUUuvq+dNJ4GOZ7rzLbZYuWizPTDzXu3ld/NUpGCMjza2mVfHRnQal5iKNp41h9XH0
EPqh+6wvSqN1oZlPdoSnbEyrLIRfMu1Uc7qUqrHeS2SM9JI2Wvset1Q/5ILVfOGBfm29SBqsObFn
VXuGO4zPt2VCmZF/1OryqRgtd4euSEySSX7dZYE+fpIxafom1qAby/gsLHWGXAxulxHyk720FzHL
kawhRwFlUzi+pkjWcCXknaRDAN6N2Q75bL5LAYyEepvsUqjwz8bkPlbEwfeUSkeJOwQrRn9xGVtr
h6rVn9vNeMHM/FkDbLQM/audzg8WuMRpZiVra74tFr8WHbaENzQ/PklhUacqZ0x5N2wjl2n0XlRG
qiSW+lO74NcCzzUUC/q9wT1unzXKpCaAixF+3X/MOWWxVbM3Hio2eKpmXoeMeYJqDwROwcoxpNSC
TKtnGgDtUAz2aUbV5i8GxLfGKs+uOl30SX3P2CTerYvusrCkUUoZgaNoYoOnK7SbDRxAD5HvnnUL
Xhzmd3AQ0OzlxFo1U8rgtt9CYrnA/cGq+kDtGCuPWdm9E+Yghvo8OA6FUEIuROciMGH5MAedXgUN
MbXIUxhOu/L3UCXPql61O80UI7HLxUUX6JFi1XhsNR1Qn/Ww6W6BcyRBN3+YCRACoeXvHRKEmyCr
UmbrfFCgYCNqQGSYSTcaGUBHSu+RyKzZPpV2etdb8NqJeNrNtbbHnLvyl+xO/UQ5bM7eHu7HEnaF
nUaJocx7Amqiahzf9LKsjknc5NGYipCTgJeZbAMV8Y3fivguFsrDpANRcjpxSw1oQb3Yaz2B0A1S
O4ZhDV4kxwVrDH8Jzw70AG8Khl7jdugwVau6C/vT3TQM80v6bEJ2ymiOK6LmGrO2fCqtP/mA97Zu
9D8W2iREnDuvhqKlmX3FMh1plTO147Z7mEHeD+n7TEhIaQ8HT2boHteeRIkYG+0U8LJ5z/PHzkJG
N85ofR1SIg3NujqCwQheP+SE+EDl5toG6z9Z1w5N7KgJHQdKh/TKXXZrgSAnldP9sqRlOKIqDyZU
Jj7Wa8y+IzJP7rR2nDzgX9t5avzQTzfihFfQKbi2rPIKhZPtdmEbgY7Q0IcR0AUTuWAhvi8gDXDM
WCmpB7X/RF9hUdd8Sgn62wEstSTqp7puTxASaXgA5s6Jx70zpRxlGFIOiltjgkrE71FXSzwGprkv
Ubh3GNjvSpYSvmrEj7Lz4hcWI6eufKrSromGrP5cCMRmuZcmJ3I1+WWa9Lttgc54s3HLZjxsiFdv
MG2mk0znV8ITyJo2txAadvgSfeLsHiHDuQ+TgQK+BU0mpxX1qSeS0EsIFijT1IrmdiA+wfq287+Z
Yr+WK4qjCgE0GhP9e8brMxMO4S/2srD9U58dWjtiPH4nmTFfDZrPoPkZKleMM3R7C27+Qp+zxeS4
KUIGDqzBCIzcFaHbcjIRw76XzURUKNKHBxteFl7ggQwKmpqWZ1dk1T62APEPghA9xVOoatW7wplR
IBpn2Y7WOWXVK1LzhQjG3IdO28EFwcVWZqcYqqvblHpkYMii4aV1zjR1lzKqUg1nvHRV8tJBt3S7
2zyxqGpbZLh5nYQ0J8j+Yv2h8tSgMNuaV0E1n3pLmULNiiw08AiudH/SZcQeyeVvw9C7IyjNx5pP
BFr9JEqxBCUky/1aeB+250yH6i/r//fcZfLklN1Dv5CsoB3kiuidyKNbqV7N0rY54TheBlw1qclc
WAyGSwiyQCqXCNwkbQV1okvDrEQ+asXqPQziKEeAfFdmr9wLyIOk5N/TR2tXdCzHSXBbm6vu3ih6
l6h11qRkz9omgh2JvPVsp0rHPTI7jkPdhqUYmrvMbi/9oQZmeSMI2M9Te7o65sgdkhhVU/Wesl4x
Ts2kFPeY1Xgo5+qo5ET2kkJt5U6kDePT6nQvluk9F6SDscp4SzFqIrmf3zyNy1JD/ze343JsnE6C
8jf2FWRSkGHescvaFRn6kXO1Q87Xn6ARI/9Mp4fCPbezGxidI64e9HxgJIQ/uA5fh7Ngt0zew2oo
pGWOHYgmkD7InmnFZeciUlc/WjE/jsOiHHv0rXT4yO/R6AfUHDMyBsIjmLOf0FnoOFmjqWpuFgIX
RCEtfE6Ppfrcot7CZGqZDH7Y6XXjQsZat5mq2aSj5BOggGZt18zuqS+W+jT16a9KGs+goovdZJqP
CQVIVuYMwDyPtScxlN7YAJCuVJi+w10vKibz3I4yoSwhA/uAm8J0cab3TM8O8Spduhw0RhVbYdZr
N5WpUUqw5kfnOP0u0xTmBBPj2WZNX6YmtnBW6R9pnO3n1eMGnwcEG0ka9Y2ajBZZK5w3i/gyvnFg
nxqGJKj3tTTqhlo/2B5QATotEgA0bdrJ7NNS1vldqMnvhsHxXrjoLnTjbIP/4QXEX0xVMMIR/Pwy
oeBxMte+g0Cm77xk1kLbIQoxsfTXqqTuAoP1mQ/q4JewehxsYb7VNUAgca9Uy8AIZ2J0iqMvbIY4
dPBxLok33LGxhh/nTC8sGBBkAscOwCUXlyY3+C7O2l4aaUKKQ2jSfqlxB6q6VnxQ6kMoM5mf1mU4
VhlbXdYP56K1PtspE5Em1odMwdxkJQETwHe8dpyI3YeNG6YgdSA0AOgC69HRBKBZPCxOeoFBSnZ3
uT6UmQVvzMgtAlq1vygkyV6wyQTS1s3rAsJUALE4tn0alW4uEYu+FduFKvR85/A8H7cpzJ2rsZOp
OeuyOUYv03dJNPRzG7mJ1WC9BZzasdRACnJJYqfcrc5XXrSzL+ey3cOVKgv9SyG7MpiAOQWKrn71
if4BYdM+ErZ6I6MnO2sVaTfV2rKVuNWkJwT1jFlMWerHuOtuGjhIFF/5Y75eN8gWqRsVq6KMkrI0
ITh5bkaUi6j8Fks9Ojq/6c1NRIlifxTBsgknRa8+NnKqQY6gfdtkPJ7LfWxuU9/St8M9N7v9unUN
46OlzlogG/HgMBp1q+FC1qHpNxP2x1JhKDLHzLbMzZDoETkWSjkpB06kMVr7VfyqzO6Nkpfarp+g
C05o1Ou2vx9rFpqzpngBi/tjaxrdc4E01scNBdOgRFnZGwq2NfYCGArAMvNvEk/KvTmNLxKLI2U5
mvCM7dpuHaoFugtKO9MwkLoYCfk3kgSAXMc3rvzljMEX0Y3Vx89mEVqHMb4KGnUldyhSTbLrEtcI
TH5nf14bzOMt/MqJbYf0HHQKyBZZuTB02uQ0rbK6CO/g6w2KU9wISlsprMfug1EMKnujHQ9rjPbG
UJCK2VWH0CieX83M2a9OfVkYBvgNUebvcZv/nsCkxXkhb4Rhf48GuoIcqkbYVda9SrNxZ0EdFxn5
3BV+ZSO2sTJun+L6a2BOH+05++qN6ay6XKPIPFCKlfoX8SZKZfG/go63S+fubbGWb70rHvsctSAV
K65rqd8BEVGsPXmQl1rDV9z0PSrdnFCHXnGZ/6dfScF2h0oEGaQ4uvbCfe8ehvmpH1vCPLwHe1pe
8W6iUEE2zDoEiOvHoKCGTWqt87PVe4TzB+EO3UQK9VtltLUm0HbWR7v1HhFefbpuwl9YRMISjHbU
hijKT+ZnR09ogWVqu4T2xjFnxqQl7mRtDL2pOTUlQ9ISQE6FvEif7L1lpqHd2wcUeV+eRtrpGq10
b5OErYq3TLO9F9ORmc90XnrPsMd+U33+cibOEJMpn9L+0rWLh2hTbJtPbi2uWtIb1PfrwPHnxPdr
op/rtH3NFFyogIBWt7+HvjP5Q+k8WtCgyxQRvaqxaUrxy/uSJAPGlgzOTtu3ysvqoTWHcIJjqlXF
ElYxWxpdkTfLTgkLRvK16u+1YGOEWd+ahlMdc0IrccRm4Ayk/9pYfQqLQMc8UMEHIlUBY8XGdNFh
UmqvRicOpckMPCmsrwIPe9NcVsAQqCWLZ89kBd2K2+Io93oMzdD+NbZNpBQgVpmHOkw2W2FGa9tm
d+94H/OdZqjPaa0expxTWTviC8ZNkps3BngfHQtctdfBicYI1SMd8r/bOlEiiw/Ls6j3OutrrLw7
6l84RSlqP80cf8sOcgElDlFr+DpKFsuIbllpurb0uw3FntdXRx9xdKa/PUs+EEHARCCn7dOde8u1
Q6OdnrNMD3DDVz9PTZ1BTPNwCIsDGkSaIdpRvXvKtyAYDWu2Ix3P16FMt0p1Qrl5GjzjwAImcC2d
1MBx3rYmbzN3pO1vrszuM4kNey9Jn+P2Ms0tJt59VuMjjicbPo7lhOvi3Y/6/JpMwEP7KYKm13IE
4WS0XigrXplelJRRdM/4t+4Le9olBIH75mRaT4+tnTJOVbQxAsiyDVKL+wJM49GYqaeYuFyUQlXv
Mqvfwz3okd5waMDbJUmRPqpBRuPyNJWqzazZYznftzTKEGkMF/3SUI+nxBguGR5dOTIB4MaVo3mv
LvasAAiDZZVm4qDE5n099AJ4Kxc+VjkZFUt8BssP1sHh3MUnK5ruu7H5AeJlCgxeQ6Tklre+c948
MrhgT85+as8g0cct0zGHo7kqK/ZbLIygo3QWxYGqpp+Cso4kXFZRTRWpwHGMpN0zuaKMI47CSvNx
51xt9yI6yoIcd//ALZra8cuZjC9lPvaCMi6fuVvYg5dDvLWvy2KMvqRF8yWehLVtvsj7dY+V2U4B
A7450Com/QCBsLGk2P+aN9vOz9LBkxD3KmuieXlWs1u3eSW8uIYoNFjPZuJeuPXdTyBvfVt19s6i
PNto9UdjftX/J3vntds6tmXRL+IFc3hlEiVZtoLzC+F0mHPm1/egqxrVAY1GvzcuoKuyjy1ZJDf3
WmvOMTtaMERb9FTKli8k8oOh5dwXq/VdypoGXVus+r25cLUNAeelL7cirvvCimyoayQQmOZ9Ekmk
bMqxb9ak865JfBAywlgIwSAsCkE2Or9HDZz2Lq7ld6Wq2ETXX+rYo3xpdTclrm+viIaXyoBLqqz6
qBBTQWpE2mncZYBU7okX7EnRyPahleK0bPtjTseTaQHDwnXHxIUp16hj6OhQTOhZ5OZKfSxBvWEK
VKnbpem7SLvaIfUFweXaBl3NsiHR6vSKbLpTplHyZkM+yholRzXfUjDNbLdCh+yvd8nEh9+zsUG1
6k6qsKDTrfGwaP1xiWmw9UP4Gqm63TA3dqZM9Eur69y1JfsGhcp9laBZEDSak8lawfPQ/xQjF+iA
6c6ptfFV7zPqhelG7AhSTZwfdlKh4eksqpIpN5Sj1QJEkWvhQnRy6fKvMy+WKfwKjfhOBcWeLIdU
d6sWcE81GNiQeTmOHVUCmzMr5WY7GX2+zzQtWGb90MZ5azeF4alqKNBHob1RQGe4zsN3pdD7nzB4
c+ee6FYpp2ZQzb2ERtK11M6r5IF9ASGgfU2jEtXN/ZS2Z2OudhKtWHuaEQw0AqOM5ksLaQWSw/q9
4vpzMgo6h53oF+P8nwJgiz/loWAPJgEbzGdurdUFolB3rjpE516MgOAJ9yHQe1xA2MrUpWGLB7OT
ogD7MdBRO4vSc52rXwnYSNdMx7ukik4rJuxMBjEtDwphZ0aT4kCvBAIMhH1JdPVaeuto8IvzzpmX
/D4XaV+WaX/JK+VxECoUZ4sAQENWMGmISOwMZZu3ErwmEpWusDPBMZiIeuPohM12opLttGIUHZy3
Yf9cdRH92Ai5gZXCUshGR5UVJucFndEykg9D58VTa30Lovykr3Sk9DSCEayN646GahCORRAa1B1C
khNl1s4leNCELJeUoZNUNF5psPmdB9OJAVWs8r4JSf1DhN02X62gyl7IqbyVTBcrX2REfTxEXY2a
Js01X5e6M95JKUhSCZXZNoCtdOMwxd3fz9qoXb2J5C3WDUE4cKFQEVLruJpJ7/P3gdBVpLb4vA/y
AnfT/v1ibyULGG0u9Y418zBEQDEVGlb7VJGRBg7SPQ0Zza+aokNTKMYurRkZY2BdHfCZVAclipDT
/CXCLGeeKpFFUpjZUmxgz8KUtOxoJ6M3XMdgKoplp2wKTfTJPGzPpp5Njbns85obWK7H+6G6FBJB
Ml4HwT4k7o/x/PbqsWQha1TRU5QVAjV68qbz+7q/b+YvPaU8Y7jdBKH/fI1dqDunNX4LjYM4At21
CX8L3alF4yPH9H1oQ8uHUpf/fohLylYmKy/KJl6dNY1eV1FZi/P71PhVfjZdUkJYR/TJdN70S1m7
axKQ0czAteNYJSn+HP5AZoXNgcl1uMmHVUcq+TN+HwauGm+SxY9/viRr5oFdbr1r5IGW2j/fqBfl
75/6/Vq6FJK79Czt/3xjqhhgKA2bOYgNhEK23Y5Ssjr882C1ChKY3/9Okt5rWoISUourwOys3i7k
QdgZzPHLDi1PH8kgQIrmZuRhgcKH/TAZqNSFNLCbIjwWRknosprYuTgSVzdIkiuOheK2fevk5Ia5
cYa3bQtdJiCqArRrp5YgsPBkBKFFyQUxCIpCKNPXPGzvsT5gWOdeChNplbmfTsmdkUarXZD74uhy
FgK40X9WmRi8uhz31ATa3QA+ue3NwqvpSpHwjWiwJxmi2zJadTsiYGriMnQlga7ikhRPCzrOnboZ
4jgpMZIpX2T7jRxROhDZkj5KYV7fCTUaFMkAapzJB4DA200gwhQgT7JXhcNZxW5xhKvuSdXS+oiE
/NVskHvOShr0tIac2ogOq0LCEMtcBZUO6KI1iDARMzHASTYcUMC8wSV4EucO+iX9IL06DFNxoU7E
WKHVxj4PB8qlFpIe/lPmQTshHXjA7WnL0Se1bw6xC0cVClGkSXhFSpUw+bL+buTqoRPvI1UO8AZ6
rbLscoO+Z6E9Z9iWgDcoP4Wg31qK6rxh2J8v+V5BejMKauioObF9ivyUNaAhUHcWmbnH99UyPMEl
EI3zIyL4Q5o9juCx7EiZHsJBvVptjcshvRcRMEHRfqYZT71fYtQYQ5RsKivuigFlZKIdF9Z5e9na
lBiVICVDJiG6cZJ+l7AVRjr4DOKW1xBMYhEqINvF4qapxgvG4Ylv4yOKxVcA/Qs9qPZ7apXXnr9Q
wxFn9wOLziB3b/FCD7uSby0RqwAebBqVBq7I7mX76xyVdsMp0wEnWWv/YYzR2RLYnG8+blq7ByIC
+Zju08ikclPtQtQe65D9z8rlkSNp2YFffmr6eTfKK1ViMnx3U8/2ijqXDjj3Snlfi6pw7PpHOZ1D
T0MMyHpm7uUm2SVYslgbucs3RQvYofjJQJUyMSEBGzdYmlStE0ctd0tUZ0vYkk8hLY+1bH3pkbYe
CRevT9IwlU62dP2DsOgThKCGfV9PyLYQwx+1UOXQpjfJckAKbo4BaXj6uaSLSbw61hJmGXlVlh6W
gsGBjdbbJZO97aNjUKR8NNnijYrwfl9UVKlyyBDCGLRXAXpM1Os3aUgRzFbqSWYEl4694IQyPe9Q
ouEbNqdWJ7xgOx5tlWwIOrQahD2epMV8GVvxg7VScctKeRsrdB9qyN/c4MjNx+UrA5JhC7kXyW20
66d84tvto47qJWIgysZGeQDBWvvT1KCYoy+Ml0y7k2jWBbpRiYe8Tz+X0mQW0l0SvftjZDRCoSrb
oJ9QTwPGdRJrzZ2MQQRgpRKfGqyGWHlfa9TAFRl7jWrdrSCDwkH5nmAG41mi51p1pV33KDlUnmzf
ShIs8VnWfcudaEPQf9YTLtIwGbkcq+fWkB6sZZx8LRsnr0XckTfPFFkAqZjdO1Gu6o4K62dvhZHT
IeCwi0J7ZKJOGFVE89eaDCo3XCiG0XhKmiFG7Ea2ztjvmzdxWLHhFqja0oRDYrYkulQvZNTcq0mR
u7QR0nh96UaS9dTpoZciP+l1Xlk2oU4lA2JzIEyjHj+msdb4OEy2bSrDOywmu4hYSc6ghoUz3fbu
VFuWvFs6hEwJdDXbDOhmvwqxEmF54GZ+zAzprm3194YtWKeVMBAsYnVq84pO8xN/pi1w2pTK8CNX
66VuzoZceYtKG3De4pS3b6RaxiC4CV+3E57gc29ILE9Qo72iCoe5q2hODOolywxksOlHN4Jo1Suf
t0aalU4vzprEM5lu7HFzXXa1ZX6Kq5owhEy4Fll+V4+fQhRCdMD7sGoiwFm41HobwUWXGB5qpqd0
xDjiyfBkYD12gz0wRP2W6cs9faoLPPyzkveXEjlkWULRy5WH39ddkOhh0SL/SO9zvzWqa9wB2oUU
gxCbLbcqJpydOkgANkjsiDJktmr+hGSUfL8cZY5cLj8CnhCsdjF3nq1GhK/I7aUBhHwluau0R9Go
HLOFlVCGV13KXGWZwFmrHxZ9XFvXtC9CLM8TqMGubZ7SJt11bXzUSuEeG+shiVkVZ+ts0k1SehpF
UR+zgqnKR5cvEKiN9x7/qZl/ihWGFmZnjwTlepAgXbE0cLFXTN1bMWBx3fyBdFhnMVinFiwsK8tk
ppSR/a5koRXK5iONiitiigcgLg5kRZjLY4hroDBWjz3IHWiDA0zPR01UX4hXcnRgx9gch32yGLmL
2PV9gYlrL3Tea6QUNWMYW6B9yp7cY/oKSEL3GAd+EByMDDqvn9JxPozJVdT6LzFijyPjl5m6Xc51
wo2WENzxQeRmQDyHj2kE+hBtYmmlL2nWUuE0EtP2FgVoujATq1N514qwGpdKPplJ4sEce21WcZte
hccq7F2sA95AagFVIrMUUXOMpn5Lh/Gly3rRkZPkQcGEYPdpcpn68tskRMTO1OHVzBuv67vPZlHf
Mec+lznbgiGBPz2+qUaW2WM5X9hrlD71o8ENIJmdfMo+4l7xLaYTNu1SWJPtp8bxDM0Z3AYD/bki
KyqXssBcMAIK/SWtxLt6dmURuBCzPmXjK6OybYC3UrdBxORSAh+eGBzRephnr5wSzgQN4FGR1K80
9F2ESSIDr565pJR99A2KgJAbBWMxxdf75iQWzItVPhjkBGnMhJf5rRy9dYLuY5KBDsjORzW5UyIh
OdJ5PWuCGEMx3IOU+5jGTOWjfjQX6YOmWU4myLgTLDQNSlF+bdc3obeN0/U6pMoCGqrcr86s6o+q
aOxHDPdcSEzhJmW50wwmbWZL2L0uGwtL6RBERq+Rep1RgMrCV9XwWzThuWTVFDu4cXrBvkVriaZu
cxS0euuBeF32MS3j3+2+0X/LOv2pPhJa2xKk7dYM+iBko9KwZK7lQcr6L0HlXXSC9Nm1kbMKk7ta
ALHT0tMR8oAEI3zCANmX8XMBuEcpecpkdNvQmzQKq7OYpclxYFKiAMasYJGOa7X5SMNHK9FfxZi5
QBTOpyULn3txPOqdmXlS0x3DAcRZWtY/S1OyZMjrhXzunYGNxe4KsKaUQ3QVGIWAaYHDk6JqMj42
hB3BBpprzKlEIwmGYTYHZSF5KhN+R6pIPoxpg2BFUqZdJWgvzZpMe4wTdOlw82Ngf2nk9WFgE7kL
gdTalpxd2AKhUViMV4Q3Qbu2EKHBKjihiDGlUphxD4snQfjyNooazdVxwMk8i/r7TLsC1xXrCgdX
9Ushvjbooj0prEIcHr5eRQ+keL/KsMS8CdyBKyBM6nD3yKYRof1EtM/05GBFfX9geuMYTFwZBiG4
paqoOu1eCkf4h+b8xKmAm6g5y9o07ZH9XAQjfZpEJOPIdyInKbmRNbAc0nmqXORh+OznDcha8pez
RJE8Cahkoe/TkVzP7GZg+9XgX8cri2BKtwYwsGUT1NF+XbHpRhSE5IExnp8Yl0q9SpRepp8tGOs+
oYynnL7VjpmzuBul7KrVyidkg/RO1PZWdt9SZF8GCf5SDAiGkVkvrhySHi/7zA2rgJdja5EJtrZe
J7sWNWzFKVopunn1ULCPjHE0WPNTT1tokstrX013zSjrDjP8576r0DZrrxhi9N7oXKEjcUiUk2uR
YLlUaNO1zCwXogThPVxMbBsrPRFDoC1W0b3Xh3zy81X4064rI6Vk0lmWZ8up5HGvacMfmXhrNw+X
nZqKmBze80z/EdXVmcgMPColyhnIxHcrfjzPimSN7Tt2apxz8po/qxqndWnVTDDQE5DmAv6w9AVw
uP5Qg0Pu+vtRmkVXXWSagzggwlhKPPrR5PNk+LhXRWRNXEqMCdxDOGrsbdJ9NyzbPDB2ljx0sPjt
9Fk1g6o0dub8THuGHqEuGL7Zj5+lzFimqMMbtu1XSKfPtCOehhLmA1oYwLaFfk9aEr3o5Vtq6cjm
A1ualqkNHj7CIonpZpnYg28ZdrgkJluaIs3lHsppmnfnVAflFQNVdI1s9PtS2zcWvfrITD/WnKpt
KF6nHPlTOLx3seWXPbJ6wgwbNlTTiYH4aZmZHMBr0i/MZg2l/NFLTL5ZyNQDqH3qTpSf0VoE3Wo8
mAm+lWIdYSlyy8YFLD9okcpGi1anRlBNR7jetLmSZulzWkpwy7lEXF4acO+LdpX0NFgq0DSZzV6W
F6WvCPCV8+KcasAWSmW8WKV8G4FEpgXmTDgY7NY/6354JfU6rNvilGPn4LbHvBzJEh4GiCNhuN4p
4kCZK8MUKGX1sBleskT3esK0CGgUA6o+cn9MuAHpqZ09DPlPSTLYcQHFrVZbxcVDPbtAziD+/mmw
SnnWEEmumeif6jLXdlakxGkk0jVWxX4/TyiWu0V/xaNayXGQNUyTaDEOhiTaGsDjOe0puUhXiENK
2myCxdacYllPdqap2/1aLq7WPCVh1+zwD950WcgOCdcvG7489Xq5Vt0B6rzf5gMcMsWE89YzWSsD
Seknh/nWDSsVXpToQWvprEth8qGbcrIficLosDjgJxpGRPcFcM9kXggb03ZWORpXQVscXRcB+ZLE
F9NeQU5ZOkPVDk4yq8gV84BhTuhVwGwDTQjkehwIKeadySmkZWWLYohqTxHn71/18f8Ltf8Xobak
0ln5/aj+Ivz/N279/vsjrv4Ttf6vn/hboC1J0r9EMs4RYquKqOsq4Sl/C7QlyfgXxlxJ22TWpgE+
/t/l2da/RFG0RMMEMY9nSSJg5295tir9y7I0SxfJLWQOaYjK/0WebUjyFkRT5Wydy42wr2HeERWR
92WZiqRKivlfctDwUjcDOyj9XlrSMcgYKJHJFAHW4LZi1wnZzzRWwPn8PhAeOPpk80FwM7pDTs4P
3Mzt6e8DgwjYJSmo52Hzqf8+rELcwcLn4fc/qzmlWVvmsZ9P6IqUVsBtvT0MWBwPydZQ/g9fE0rw
vkSIl1kEX4YYluaQbA+/z+Ru5otqa9ZOaITsYea2PtQp6w0DZp6Gm4h2IkEdWcbL2ugtiUMtwM/N
s2NoZqBXwOdVcMpW39zP1gShmBaUbZqYnzoDUJKtbp54HRERZU1xion1KOcZAo6FeVvpB1wtpS7a
UFz33ZJ9WqWONRacKaHH6gB+Kh4PwihJfiN3ZwHh1gG173BQ6b8w327q6xIpoy8YvKcoNZm8WnuD
+XQC+3CvyCvVVodsW9PM+jCzs4S3vz3t2o6ncg6PV6FtnWEuCn7fp0Ac0OH3WZJUxh5wcpNHKxJO
HqS1iZmhJQ8zQ6MgaZcgArFwyJgSbRiNJgqTYINN0WAffUnfm/1HmmTHGESo2HfGflP31OFU76No
ImTJmPdqpN6KImlcEKIHugMlsw/63dKkqA5GNiQeG7nhn4eIKOP/8J/Lwh7aLaf0MpsSeWZInA6/
D+LW7/99ZmyAht9nsinrqAIgG23d9t93/vvAyARyxPYgkMsis5GETTKySft9P32aMrjOdrIQ5Dfi
aSTCtB0DfkyUOs1FuZPI6YZJ9iRrN3Ic5++W7QVbOzY0PUwvn37oKPiSO9Lb88MdSbMo9mC+f/R9
0Ai3RkZ6Mlx5Zg07S3GKZ4LD6E13mzzgAaG7PXV+qB8745hJ5LrZ5Wv2R3Jh5rxUpzhBNOkpIF0z
Shm3wg3brQ/KDCbtu9J8E27ZFn+XDS7yxRoIdX+IRxtV+HGeHJpLWJZwMwXLuF8/xaeYKfzqqHQW
rhChjNFm31riRjeOJBEAzYJRZsmAJt01uzPUOxgMbJxVqpSf9AyEg60LaowGth2bHXp+t/KGUFZ/
1gfEoNvHxv5Kw65MVPHsJuohn3Ypk60VHq4VsJ3PqbIZYyJ/MDBW3NfWZ/1deIiexgeUDhf9WbBs
i0nPXX8bR7IObMDTxC0MO7VxZNDj7G426KKdHKtLDV7tytfrN2j33ke2J3rxKNwXs0MbrH4DXAbJ
K8dfzlCC2pa2qOoQArBS89nqoUPEPu6W5AxUl5jqhYwke2q/0oJRDTQgpsb7qnHWL5GtU88e1+bT
7YmaInPBcsQPBOI0cht0JfdzjJGQu7jNOAgF8nBV5mN5lp+UlwLUisYagjyGtBy3uyiANQmGuoUH
CjjqyNJTqPMjX+favJIthewfY0WCgraA2OPlN/0O63D/Un4aT+Wz5eUP6WTrk2cQ59S+MRczAuiJ
AkeRFlS4wyE/GGBLnG78IgGKOBHSrU754tDhatxia0O45qNyJ7wyw+SP4bRVP9Sf+XHryR/1Q73v
gQU5Y4It1x1lN/8m7IfJSRru0i/yl0WFtp5bnGSFlSJQn4HsI9RDHHDJqtt41zzPZ/kdLlOLoIZG
nsPJNt6ZNbwEGxdsDhuULB5QVR4nlJb7MsSsrWF27DdJjBO9t0cv2YsALR+h+yUcCQch6UB6AyQG
r7/QSV7/WAeYulSyvtl5DJIP+h/rC8fnsftRv5WD9pF8WxfWnaXz9Fvk0Qsld6FYn0L4oKMtT+yz
j/W5gwlIsOgLjozGsQ6QGcAi6ZatPpRBuB8fiD5CvUzRsqx29yF/4Dmo8sDkfCj8OvHi74Z0Q9jQ
7vd4Auk2nkBQ6i/qHZkt8JDGk+UCASpcki8y18Cb/ErxlHr5aaodmLdERrjtY3PqV0y1rBkoegLz
T7n6y7O4eiXG9f61U95YO8KF3bQ9698qcCQ0VzEFuNvirN/LH8vqVAc4Adx6cn7dXPFmvfaNLSuA
2e8+2ukOQgNAcVcJOXvndR/QFX3ps/pBMwcPywwW3We+P7JE0e58XZ60u2iThdrTLvLU/YSjHJy1
oz0lb2vjTH61Y7Wc3sfUX/f1Oe0Deg5tuONYxp0bhveiuK8fw4MU7so+yM/CF80kju8keBx6rr3y
cY5dXhC1Ka8z3w3P4bqfW7BtwB5cS/BN/o7KFmmZQ7mdj9rgyFlQcqNj3ZEO+WPKSQnIUfBQ0GV2
DGy+9eLKVsDipAFjPf3C5X0pTulnjIL4K7r24UF7MOiArcqPSTAChWRMP3V+rUaanadM2lk36F6z
QCInWBMHljlmMkN475aSbYFfdXftl3TrX8OThSJvOdNpHiM3ep7EXVE9azqFURvQq81UvyK7Vnpe
NiXQpZsfDPEPaHgCoCllWTySghxQIkpIfP8pUsTPrgKU9DK/1uiWsIkw0r+tt3B8l7ufjSXN1Uuu
h2z4CpdQbecEwdHEoRV15neokWWLyJjgN+PTRSKaUvXjXWMsikyEI0Nl/R6D4CCthiAZ4kT+5Hv+
B5jQD2ePP4z1n5aCrx/irwhruf0IFO8S5a8ZE5l7MlcTJOanae+Er+2BflPCre8oNj4o+qoM5uhr
1FH3OVmxLyE1DD6YWrkIVtGnOS/F54qg+ARNGIIyEs7hMjjd4ibFXqpO6CtWaOA2AGRmv/iC7Se8
5zN2aZYxV+0uRkYOYH3M3qyDckiv+nEJ1HvlYX0In8wDZzT2sKPwamwTZ05u0GtEG73yFmB2tB1U
TzeW/FK5r7vcpfSSwoBMHEpQGeaixqjcCa+5Nz1WPpYZ3+L2sEd7kgBoA+Ta35MXOKknaCzLEXyY
/8z8myOofUvxlxr7oRzMG9fLrioXHxo9RBshtB2J5L4f9SuNtITGhOg0MNcBp5b0J9hEgiUmISBI
meDTdAW61+ym9HGt/EE7SWMwqq6Zn/TQ4d/LtRflFxIe0JlnAuEedn1lIXrafhVu/4eYKQS7W9va
o+0nGPZJOCNWlnTYIUhrgE2BiLXTnyS7yFTXCJtm/Nm7HtY7SiZY/2SPDG6m78DSwtVoGBMgJsqe
UX7KMnN1OyIe5ov2+sl6KxDGXfjqQj74MT7OREmx03DMl6Z2eUtXGXOzvdzNO/NTfSFw4C6/EsgO
doLUwj+C4bb3hM6QNLPrB3fcyS61ple+9xdhN15WLzoL0mHYdw/TUXlrgovODO2nfZ/vQf2YD4zg
+f/4SF70TscbNTDDPxVu9ipifkCv6IiA5498RhAzFljW6FJuY+V00F/ZrlrUCnuggWP2rJzhutBt
peguCXkH7LETP6038WWAPs1Y7Ym4q/FS+DmpV7flyF6Jd7Fjz64tu0Hf0X7OD/ijdSe9qMf8srxM
L+0Tnz8vlgzHmrQnu73nxoHKyan23eP0iCicM7Z21xpapLPm9+XBeJae1p949pQkKMoT0LADZQBm
sZ5rkEbM13DGpIgunVsrLWnOIRc9TBbaBui167CPbsKj8c2JgwnuSexfsBBpz5Kyk+Dw9g5FhC4i
7Lz1bEp4Jx+oYaVnAl/AvzV90I5X6ANatWOI2xwNxQf5nWVEMNp3rcNJii9xoWFZvqeXns576HeD
lweD6FeDJ2ZXWi7DuNORNhX+VMAP8ZUPuocVEesfXtc8VN/cpy1MkIWvPLd0w3fVN5CzXX8/9HtE
SXL4RFXVPPRP4mdBw/uVCGrRz0ofNid8p647wScPV7+Y2N2ex2t7beWTlDjjVal2VrbP3pLJhidl
HpvzIjuD5Te37Is/vlG86YEXYKSLZsFKDnRs8QCSHUMyBj9v3MuiKySHwbS7B1Qc/NMKHZYUlFe1
3+cG+BJYuSAb7fR96ZzwPnsIX3hHw4LKOXHK6GGsdmNJAqxP2WT90dieb/EXTs0kcdq1yc2oP+ci
GL6b0q+m1xzOmOIOeLl8dhPSw7TnMy/QWePrhWEBdIs9Z0wKjt0qq+pSlgHI36gXCGFRMg17KHfm
4ffBiEvrsKHdTbN9D5V8PIyxBc9rGP5+9vu134dI5bvYstlhII/CowJdvCYpROnD1G07GQWMQsOT
dAoETPGvwmp7NkmImn6/VggC7yvdvpOrHXTLfDzOWHxJiNj+4axh/Qj+x59WaW+7mj6xj9QCI2X0
nQmvTRuNnkxEKowV0k+EX0XK9oKySXkMU+WeKXS3Q2F4KEeyR9R1cbuwbA9W2XDb/32q1JT4S15M
jnzWWW5REFUv5PD9JDLkD0c8UaJ1LI9Oglu33WlMNCMHSFZi2OgRZ16VKxkjHArEHwJNjm2gqPvR
OGwD40+k9SbB6eS12gCWqCRUW3zTuFM48KIRDXfIB+lhH7LTyGB+xmUHERXDnavq98NptA1Hvuk3
5bRgn0qPAm5p5mkimA6v+ClflrPg9exFrcLmNdh/vsBrCu9QDJ6GN/mNAgn1xa64T8E22KgtA922
LkvsDr76xgTknaozmjzwIPHqMv4tTODWNtK68aXByfHGDPQsveu3/hPbVfTTI9JlDv1W7YzJR2PF
sadtmWseHVv5Z/xOzxSpdX7VPtHGXuCswnjN4ivSDaq3z9Iv92w8GPTVd/0d1G8sxt0fATbzaxYs
P7EvvePRm96MC7QSPjrTXu7TbzbFVHqT7oRv3U/13kQOAVYpERbGjoxWRjQ/bC5jfiyi9wFBAzn6
c3sjkY4pQ1y7YCG0O9Cj3P8u3Y4j0rMfPkGAXdjFxj6HG4f0QnKTXQbapT9Epwl27f0i0SpC8WjD
jUXgIn5PyMFSrNRs2fs0mI+8GsglIqos9AHISSmTFHu94rB8Df06dEjF6WWyNZha5k6K09+P7jgr
axABn4wjqanGF9waIuKgF8H7mp2ZdSy5Cx8NB97nXt+vop2dQr9dPAxsByVAl8tcadj1nzKH4Jvf
2ij48pwyIG4HR9AnvGfh1sdewc8HfOEqXBvYOSe1BsXD/f1K/awc6aNIuJ6oCUlJUW0a8RqWsslL
EbYAb7eNq4hOHyUzjMvvOshf2pAKnz0VkkgbsBbz4eapUm3JVQ/RUfWiC+BDBuHTrrnSgq8Tn9PI
xLWEsXZylB2JNiy21kncI2Keg+EpfdAq13hpDvDN4Cw/VO/YqtEhVe7ybTjKJRw9g/zyJ8TZ0eRw
XKAbfM6dg4Q9flkmSks98eRvnDQ1FZXgUOHzd+DBKthS3+R9G8wvHA064379ENIQepNVO3siEag4
Ub0M2yYwSN7VGnMz4CDW4MoXlL10ZXN+qQuPXDwOe125CEQazQHlioJuS/UIVIl+l409f8ZpqF4H
2k/cOAuHhpkgXQbgP7ctP+DDOFEOFOYfGuKKcNKAwlK7f7H5ozzVd/V+a5ZJSIkRj3gaFQp0djoG
9AjgMj+LfwgNG++oIxEPTu/rXTh+gGSMaa5zn+h4EzvkvxXbUm6lnT98aJ9FgER53ZKVD/RGDIS4
0a0k0OPFF5/nfU02wI6sJxE/LXMeEXu+g+yFJGbUzcpL+YZYDQ07IyP0bGQMzZ8SBMUj/J+t34JI
5n07i97NH7oIRCzeODGQAXAZ0gDigA8XugLCK8W39slJEpM+iPXJad6Zimqf3XIpAA6mPtKT9HX4
YYmL37Ah68Rt5+zVjuO5uxdk9lTu+ILENUWwd8/7ojmxZ5yku3S50vP0TvYWrQwsqfSxFu2FWBkB
4XTjiT9563XvC1lLfGjTiSiPlds3sku4BH86+l+5D4C+eEdkzCyo2Am0faLkMJ0simnD7T5D0yfV
QD1heyieUejs0gejt1McFy/Fu3VdtPsi86bBlSQnzy95hm/FLl+iyoHKtgW0T6du3tosG2EpvZ9D
7r00h6K7UPDlG7oLHHvXikWPwoGmA30CpAHN3foynqvDGIS3xe05nBCYL7S1nLn3OLrtd3bhIomU
m6Fx4zytCoAwH+VxER8smDi6TXzpk+xRvdBJCxA/LU/FBbJdc6qnZ7pe3IlC7cywjgubW077aXiQ
CqirjsoL124v2supftDPy7mybHQ8mD9KPLbY5m39QICFy9m0/boLIH6OYzPtl6dtpWAcdOPIc8kJ
L4COzMsGRmeFNbkYP7lrdARgIPRUmO4NrLzH6ik7TWfjnXGU5RCnKf7MasCgbciOwueguZnii3Gw
xAfQESad0MSfDawIhPycQ3YxiB+x/oz7Svj5/bw5MKonXkYWAfPNFUUn7ndI3TRsE3a4qx864shh
ZmDaY+BpANU/xFVQVIwLPWSyutq5zQIhdUcLy/zhVottCXG3kDMcPHKHYhXlxIIJaEiUmnb/OF3l
n57DfONy03WnmDxa4vTuUgEbnh9qrjx5vKCqEg9mY+NF3YeVgsU+voeDSu0PUmzgsrbLjxiPKJOA
146T8XV5n05caSzYjMNS0umgdUinPH0StSNI+3zf7mGgLfggOZ2qPRUqn5UA/F32J8NbA65aBIzp
TiVGZ1voFepb3juft3rrpoDrQq/ucoDqR+Vdmz2jJN7Oq+EokB1n7prZN4uHgbPxO/Eoj9H8+cSz
IVPSpUd98Yw2WADadh5DPXwXrCC37W9mZWk8ep2cjjanWMx/BNonIZQ0Pzng4XiKa5Qt54x0wZ5T
gaqS23b2b2ydZ2/qWrSuf5El9/IV25gWAiEQki9Wqnvv/vX3MftcLenoSFtLoSQbXOYcY7xtKYwE
344K+IM2fgP4ni0XCgms1rpNz2Tokq6LmcUT20ZduRF9sm/r+do6svyuoFXcelYtaigZyQ3sFHv4
lZqLhTK0p7s8ilc2RYaCHV3ST3Fugm3hxYjNT5wU5U29Bufgqv5olP/HnkxzRpvITElgWsHKI2mR
2a8jfcenYN/A+S22xIdxj8L75cKDSVKtcIUTryiwkRpCLmrfhl9qL6jrLeCQ3TL1eVEDu36Wvqbe
ZTA5f2HawqZTnNtXjbyHG57WMG8Cxz83LCTLODqhWyy2cemsh5fmqu+yz+RFdCEkEpMT4ga+qh8D
/W7YSm9kxf1Z9SaYbWkd2sA6+VYYv8ti03g4Mn6y/MLLXMjhKzK1xAsH1u+We7f5pRbvSUqmi4Oc
VD4Jn2zpyQ4j9Z35VN7Jsg/+kMXAAp/NK8Ylq1iBsO0xsUk4h7a/wzEt5yl1Gawit7I6ZjrZkZ7/
w0DhgyXor0wYRelU2L1cBze4ZdwBFHgDGx+JthvSA7J9js7iL2QFtlYYlsAHYUZKpQZpCXrLbjzI
f6y6Ij4Esy08BwDUq/aS/6guDjp57YxcCSuC4c4tSdO/sBlYwXU0gcyBkKwDfgy/mGzu4lP1Emy4
Wr/5kLASmvbAsLQk5apZVTt/q1K6eZgqy7TtH+atOqruuI+8dJ1jEApPWebyZKjT/bEtW6mN9/uV
0gsdPE3JLj1Iz9qMVQr+hbxJcSjOX1ijamUjS+sUgIxUVm0pM3xpH5gHeNhhtG5JWywOtHb9l/XF
zYnmq3/jYpF/5Nbh+K1IKbv5Oyyiufqv49uE8HgVOhy+n4/0dT7Ul+bKohgzP2F+8xpRJrjyVn2f
v6y3ufGma4JpyAf7kqY+w10Kp282Gsp//6B8+JUT6nvzm+pECLGj8iDthi8EPkav2rlkoHNJiBjC
Vo/L7SC/ovhI3/pN95vS9+zS5+SJ4NX7Qk7dpigYDvleNVycYmn3oLnjPwRdibsJrrhrPQUntCjh
ZnQJ682pwDU3vslrUpVWOGW4ygayyMnaj5vxZbhLnnmoWZJolrCCXioHgvGo4mHLrjkbUMdlCimX
6gItnfRFRFd/YY1slnVjlX5JcB17TEhXgUD7xMzZhEFBN8bKRzVZunVFct5KJUf6AFXBY0wwoEN0
aKbF1mWor5gOWaImE97Oxh93WmMLSKppZiILXZuXrlvle5N03JyYM5ybcOTB0dSRn2fb3HTGblKu
JQtrwiyKaQOSB+wENqnkUiASUv4t7epd+zG89s1aGxz5Ptq6w0mnYu4IKqM5fKbrozB9IX5C+sAI
cVtc6fj2AAJbGgsD44aV9ZQeyURLRZs538w9ghbnHduWgEU/2BDJzbUjfPqb4T7+iXy9YiU8VXeh
XXff7Q0yhzVs0jMiEgQjGEloN3MvoipG5uyqb8KulrzwZbwNtau1a0YXxU9MhcSnYppPSmQpbloF
2suaNBKUrQzimQ8V2HMTqoxbD9k3wHjwTkdbPsAfxVrVGD+00EZLyw59mSDQuBCXLtU9YKIEBEUx
jr0qph14ibQvavLR842i7XCPhotGPu4EdZV5oSMfmKR/bxqBmVf78shYWtkk0YFfLOxthEKMyFlG
Ngj9hR+Ifn/KDdDDD9wMyTsQG4KykzJjZOA0XBZ20NmVeUXpWTZr7FxD2mDImzFJI3weNmhH8NTN
kNgiwdw5Fr02E8XvciXZwZ0UA2KOZybT8nL8I6I7YX2/SGT/+lQaEMBpO2nxsKM5tki9uGFO5vdQ
b3gzfcGimUvd5IlVG+tz0IzgZ1pj+roGWzxVR5xzocG58rrcZdw8lMpsJMGT5pbr4rO7aV/tIcbd
KnOCT6yPiG9l+U3+immV/bXvJkylgBxf2odm1+zJBsfF9095JcD2tdkNdk/DP32of4jvATvmaMFG
Q7sLN0i7uNP6bfLiCyfyTSHzgnHO/q4WT/OM4xj03N1495c0pxWAJNoWFuu48wR/ZyY7tC+aiuP7
CpAOhQSeAtK8BtiMlj3rKn3hoZybG8nyAC2VwCO1d8D82fTm5o4CopoB3Wxgono1dh4OefJSR4CJ
Yk3d2XCCqheVopwQDzC6O75moKbEShej0wg4l6/w7jU/KY79oz5hIrPStsOOggC8kMbPwWhO+M7f
M2ZrgsNqmVtnTfOi9KZt6ouE541JAbOKv0nOXLYshwCUT/T8cPZT0UlAg9NnAI4BRp8C+rmhcSFf
lXvxGK8hRotPwQfmViSaj66Mb/SGs0cFnJyjJWR7+QSzucrOZIEx/4TknK3ZztzuKXyOtacGW323
ZkM0SOO0A48l+8jXpTKO71TLWXnISfaciw01mvVpXDPFzm/JD8pNLnV097blmu9MAgzYzLRejJlQ
WB2CI/Bp+0o2rklakuX1r/TwAIrWew2zk4FJ/FYlR27poeAbuMLv8G2+s8nJmrNsSD0yhF32QS4X
2zc7HHxIFtf+QpLQb3auKHG2xneBithNwvUkk156aGkOPO1OhJRFJ+hiVCYla7D+cSLxyG1rpD9r
LtplrebkU/a+OqhcQJPBy/CallbtNxsoXhs/07UwXUKIKdOKpyxxxNvgjs8Cy5EMMoUXWFwNJDS5
MQoSxSnow7jTuK6FVXglfeuSmCtRcrFrNfNN+JGiYj6VV3TchrABXABxkGJmdsRub6X4NA03VNqL
Sgf5eUCxwUdZd18Jcx5PZ7zjAAtyratu8zQ95VvInhtGR1wLVHZ4ql2Zy06Rg6lccsEVgbX0Wd6x
Pao33FzWzRsBd6WwKcgVv8o4b8fMbQ8RQ+OEsRSBwtRil+A2XyRl1SkfkbnGKacFhgDK2pjMyTPX
aO1YsyOhWJAqA6+BcD2TeAUhJfzQj7rb7BKOVGzX9wiyQXytls8afY6p7ds+/ymbCWfm6QRgDmA0
dGvdcBhZUm7AWXfVA+Ap2bG27wJj3Ttgyqt0ErbZc/WavrCpWzWYAV5vnvIDYIQBWkTe3RbAgXTL
TXIR1ed4NzzrLbnGdvrrv4lvE70vhfe2es+9eCc7s8tUR/lk2I04HRrWDolzJ9nyvv7IXd8Vtu01
uvB1VLwGXVAOZRviIuIwcuN7h0/B8/iUe1hzgKfEC0JHGA0XDbVd+lq/cmuOr1xkLHhytdYuyh0h
hIDjwgpHyhZV0KEv3kVGGDedYUyLdNnFnzcdwWQhleOntCp/c2WPfabJTAisjC2aY0+5AwN1wpvC
TlswlzUsRY3lBTfNBHHOLja3Bho1shmMbVdiqut2qjePYBkELyDpW+sJV/8KERP4wyh7ZmenuWsl
byk6k9bAFecoPbGx1NMO6IujZzzwuBiibQC1HTx6pbzXv9El+xpzO/8FED7z57lilpOww3fEIP6E
Rumt2de/tcglwpa+Mg7xtVRX5ouJyrt1lP6BLDHaqlZAgBiP9kz9Xjk7fEdELjNl2Ju8x2XqSX+G
JmSLe/MF7HCsXeMHW2nHZw5R2wZAIbqIeK/v+09EbBL34Cr+A+fYtsd6XKELJBx9wISjO0oKgi5M
Qd38HNyRFBRMdo0nw8PE+4JRFbcf5NC5c5TOodzIwOxautnV9BW90VT4mVeHDkyIBvDE7XYa9ymU
ni/8ygI7PJfXNFuRWbBldRDXSowA72AV+AQj/1tJLrdB5VTQ6l/VU/ArvUzgzd9maiOVXfOrvwLT
W1w0cfl84//Xr/nuzKyemjdxo1yBFAWnuAjv+sv4DoNY2sqa19ryd0OJ8kNu143BnXYVgi0RGh7Y
4tWYPJaM5lLvQoKQ3oILi4IuLkQ0jdTpbmlSjubTsAFnKHXbQv8q2dguniRv+E5OLeCbcOpEdPmr
8qq8q4A80SVVnfJqfk1k4zH82XevgCdztRzP2jOj1fTK32jP9Vn8UvfJ8yIhqOHUOlR48FHG2/xR
ewo6AHAlBg3MRS+AzAg0fBf2m3yXnewSfnDZBReRYbNtPgP5lDjfHD4/aasTJgyb0cMJoP01hlV7
rRgK2fhHo7QFxFRZ8C7xdb7ADSBJt2MFLwiC3hJxhU6t+rL4Hevwl3JArUPqBXbAwgl3AWz0kiFA
j18BbuFNuenvdNHX4bnZLxXyyMYLEWAFheTKwHLfHrNn/Sg4nNL4A51Ft4/W9Ut5trbaKXGqE1ZT
XwqAIaItO97LG+1kYmpxx2aV1WJH5vQ5PQ4O6CIO1mLkwnthLE/ZeXakbe5FvY3zCpQOYwMPjzEL
g/kXhcWjXL5E99Z+9Eedbwt8+7OMbANONSjl7IR7gaRUjjPtOtzxq7pJX/TAPWh/Vbjn/tI3asGs
bst5/mEWEwa4kXqdhqISJbnN5QvxhqkDIKKxm8+KvNWfKTGT6tXaifuM5ZOtpzpwXZa79FpEjvGp
f/FcJ62UX5YILhTpPYZOQ2X/Vj/JjkTFFlEROZV8GlB8gNRMBM3ApyMwa8U3VANPobOtcOtZkXjJ
JSK+1md4nwKQGx01uafxJ9V7qbwioVqU7bKn0LvjQfpdHfhLkGVNxV6CCG/DhZA3/s4id0VJuVf3
Pk4Ln91r9oqtPYOXfFV0yAPoXXfJpX0Sdslrt4VFpT9QfrrGF/kQTs6wpVIvWfr4iOyYNIjhxnwD
wiZfMH+S3pnr/o5UVYfglh8WiljgECbsT1vrufoMt9xaM/PUO5wQcBuyursVplps99DnsLF49mHE
woe71XdSirF5R3PMuj3eK9BdplO74AajQzjoZ6YC6IL9D3a61yTZmWeIZWdoruf2vXoTnZo6Ol2X
n6zYpHvGdq9w+SjP7CDsNPoO1pCKZwmCidmm0JQqfJfs6UyVbZwkfBMwPqU8rs/Ta3PRTsO+9tJk
G6m2QWV7qz0WmOdOXQt76zUNtvpRhEDCzsz4Y/4WCCBwIMXsY/JXIa+t4TwyZqHqndCcmN7kWQ4r
wb02nPEG1l3f4ptFzCOkXib+K+tKZqZJ+eUGTre7p/5THjoGdS0TY561yJNA5bGa/iLLtu7xKw1D
y4lELEjT5Fan+hhTc9DWYDOw+KdQKbvZT/tJpxr1Xny0Pnz8OFcsiWK9xRM5FDdERFJP+sM+L4+x
uNG/9e8EpzYOFQfxgM5XS9ATraI7PVV3J8NlnFwd4Ep8Nih2Mzs5DT9iuyku8SY/KtyY6J8+hRM7
XaY8Z8F7BYdF4eJCtR8PG3E6tMPGyl+i9DwoGz9cV0CtFKa/FfjfGzUEEY+UGQVjLKditnINvkcM
sXzGHDa3Dys14pSs2KA9qXDPS7yufsN5jV6dralinCbBlsXJiOE202VwV4ZXYE0oLSFEPRX71rPT
D/4WMekTz7O09K6u74x31GfYCH5F+bZpmALoew0RGoaEvavkQAnLgjwLS0UTZG7GZh0uG3BwmTbt
7+gRX8EdhEc2QZKvzVsCRTXYhMUBTYzG9GPxqt0UKe5FC42KlU8A1ofEZ9C02dL3tMOvjFnGvJSw
dDfMLZFdkw/NXlVBlIkZmg+3sX02tiawab8hXwtXHPZpYOl1wIKDLGnCVNNRxh0enxGOKXhB5csH
ztK75EMZRbYuUIjiR1E4EpsKYAS1tbwc/kp2k+dy2GbCvh/PbfESJc9y9pSVG6WAyI4+35mFGwZS
Q3/KJ6J07QwMsgCY2I39k5J+TfpONSGL3SaTcU2+oSyhLqMWokhQOb0MQyjZKbtl14zWrJWcjhmh
0HiwBM+HVIejCxEPvYPnK7S79I5Vwwl6UoceqEU2S3r9RsCQAzwKz+niM1C3zXjQRjgcNxbmSN/2
V/2rPz2A/W5B+//h/I+HksKqrmeS8B8X4PG+0AyW6UgNH45fIF6LwNSs9gePxKHt47nJ13Esbo1T
72fW1jSxeugYjGHsRBEsMJTTZ7/dRcHQMUrhJ6OEUT9MEoqq+oBanV7x8dTjRXnOIWy2jLYfz0lz
zsvEinf//ZpVkzxXVZbXqvDqs1huXHGMfqRh4do/nquXF6oEqv3jn6lBevD46d8Lj/f99yum2uEG
IEQ9/ngq8NbjTVlqKqx4yx96vLXFWdyOYjnZEX5aPwf9dkSl26gTRJUOD1Q+rKRHplfj0bT2g9ab
4ADJcdsSzq7jRJy7qEi76akOpvPoN60TmJy1IlO0Zz3HcTMNP3FefkEo/ymLfbtWU1W1LeCNKJm2
kRC7Nfdr5z+P+ah4IRYsTHvvvoAZpBGn4zqFT5fg5eHNbROss7igyWOCYGGLqKXQYiclFh1DkGhp
TIM2uYMnmirxUcA2O+uLYdtH1KcoTtj6dPZNvYsArppu3GQ6yHY0fBZiIe9VH1oUbtSTiV1frm7j
nGOkif26kUzCoFpGo8Mpa2Vpb2mgDygmfkwRLN5U1qUBPkmasFlPH6hCmlWKB4zX9ah/8QLDqZLC
KMVbtYngd2qwLXA9CNypg9aIsSmLVsOweRDHbVqE9z6WdwXs1EVI4gMPdFZZEneD7UOEsxsHZHH/
CAi71iqIlxbKYS2C5DWrMWS6vn8KdPm3EaEz6yEM/0ZazzN4eRkOCMBn4yfOtE+ygBMHr1YfbTXR
WgbMhNGE+0K09jaGTaEaQHu9gkGOJLgseIJYkqUkDDjH1M9ZCNkOQuCEfnzMY6yuwd6il5L+oYEt
VqN3AwwLnFGdB/Rqy68v6ThReIvqHoPVgvBYXOnOksjGoSnadDCwQvbyDPsLsUkzTKW/xmmDO8Bu
FlgDJ2zJHA6524xQ3KUond0o6+6+GJbbMvsTY5gPhJPRNI34cMyJtsMbt+oRPUTYQeLuE8VHnNjd
rl3WmjT/jCrUFtIxLitICnhioHNu6cgT4yM0jNaTff3LCuenSU4ZSpkSzGNRW08R9NqEbxSozDbl
UB/JL8QwMi38DeFOFL3caltD6VyMW8dNO82wuYnrFTIwRUUvbnimDK40SMwhST6VZciRCYtZbKZ/
9YB9YWlOZJsxEzGjiQU65/7wh1CEp6EC8qTUrvggDG75p2bBT0z8l5djW7NOJEZUWGa4mPGv5UrA
VsCcdsascJfEVANqjO8BsStRyQStagGIalUXSPrRWQzk9FOrMkZddXw3Ioz1Wx+us1FexISWoBcQ
YnY9qKrI3PBhtxgr1qXD189WykRDmps5cZlpZObC5B9OPheS4/cMI+TAdKoygJ2bwv7O/7Al7g5S
wsqNN5ljdRUVeZRFHi7g2q6jpIn9YPT8GSfeCtJtIavwDMUc9nwqerPt40rDtpoWpB/pe+yef/qK
6WHWcZn1M1PwYAjVjSlD8Z/r+NBFFCpZQ9WXl8l5CD6jZtxJKrwvEZIBS2ywQaVrTyowRJQMPxkJ
QliOBPewAFIujFRaFXLi4V+FvrFOZk/u1HzdkAHKDAzwv88Z/tezGtEAJ29Ij29qchpLoKkWDHFM
JsjPHVdwuMQFCQyx8AcmOEJwcCcVz4aatc+FTAuTjN+iIb6PI+e60LBuEKbEhZb91RT09jt/sWWX
J+XZVBk5Cuot1yX26gcFaAJwiUXItlkOB1erX8ZMUN8Txo2yAlZpMAsOwn6dYqgwUETIpLbhUmi2
u6SPPkgjjF1EdHulCQ1YkTOodQ9AOgbIEnxYItFUnS2pXZldnO4LBZg4rqgcWkkRnb4qarTx07Pc
Tq6sk9GRmD5tT61cyPfOIb8zM8Sbz6BkiOZ1N9fIbwycCqRAPopyd6/l7opy1C26GRP/UaSNN5hP
hEETHrOSBlQDtJ810prEhGE73ZwxYKUja6xvqONfEMiDU1RoX+EiEjW1DzXqi9gCJLcOPktkYd7F
hDGln8UA+CgUpHhqN6SkuYKeXq1xkSvo3Udrhv5WNCiHB/0r1bPfCfsZTxsHLC9FZvCZG+qG7GAv
QekoZ6GD/E167gqo5pZU4DSm0i9hbuTJcqB7c9Cdo8XYmozum1qIZLynzCm4zWDKNSNEEXN2Aq5y
mH424mJ9YYUMeaxvU7x0A/iGudgQRRgNN7F7mYbm1hQvy0fc+UbIRRXqgqdMeLbEisZ1kt4iSwnX
IVmEOzkCo6nziayXGY6HZDEZMVtuxbSYWuw5KKZzgI9eFzoo0KJN6qtgz2Hgr/teeyZ2DnKzpqJd
JnOhk8IST4OUDLls2uTAPIPZeIYqzwSLzxAb5oFs0Ix0QDx8mDEaeOxlSYNAhD8y0uF0sSNl5EsF
XPIGltTOtIypGwpxNeKcWmKbLZ7szUool2wVhssY7GHmMTH7Wvwk467V3lKRoUFmHuZWmF21gj1R
ILeHuURyWtnHxF6hpNSC1C3IUSPOGGlfHDDlLzW/W/U+GYQ+XVhCviUIGi0MxJMBykJgMjVUpjpZ
G/VZkUrBDTXsPJWRxj5WmXo0Or1fzw67MgCeQsPClFlOwTAFuNgwR6qpJ2hm8YcNiJrDC0w7TiMz
42KHixJYLJa+sENVcgMLzk2NUCbBUIpYKy3eRADt0piuIx+CfB3Kb5LJdFng+nZbBmpFPEU0icLV
ShvT8c0MkBOb1oqgkYucxzehCjbkZbdAXc3AHJ5mRMxlpwsQveQNhhQtm0lWGzi9aPItU4+TUmts
5OVG6BhgYg+MYqstfjjitOym9aab2nCfOvPbT7PLiJHJMev6Zj9gaDSCB6A6H/ba4pulWzT1fcYU
Cg/zg5Vnn5qP0XAvguIX8WkMTWOnzN114grkYqWsobor8bhB2croFaQRD2/Dzqi94HHNaG/AnzJd
vRM37FkCJLYYr5Q1cR5Ml8UUZ6hK+lES7VbUleSMGA6OA4G42IM4xHSUDg7OqVNKqpcnUBfC5mU2
cKvWK0IHIDXIUuWZVcCoMEDzowREhzVDRffVkj40MsQS8mOJBYBezwjGAA/KDEt+QcKVls/vtJgQ
EnpMxK0QvuNwEG7wLONDT3GmntVW3AQT06RMtmavMnq3r+H/iA3Itiqm3jg28daPZmIFh1OVFpGX
K6FHKgr7YAiLv4grZEhRh1hxaYGEOnVxhpeanm06so7BIE1b3AzTVR0XTiL01losAenTMCZE8kkX
0OXrAfCqpiNkFKU/bWi/SefhbcEJGvS0p77jgJVXP8NvvzpYY6teZllHdythY4gkbaY48eZbGEfq
GgX4vLGkXRkB5qg+V600a4ch1ABTKmFF7kiJPqjeRhpTeoz/cB+dT2WQIbjFMgzXdhLc2glubRba
82zAuxqeRotdYgD7aYhOsvEX+RuH7qYoGF8Qx3OCiDDK5DNXEOoriVNN4rPiEpLn5qh98curjO1k
VHt1VIOXMsYJCsuppoaqaCqqvlar9sOwyuGQWdZ+smhXLK30+vEj155k/LUbpMKuYJhAQBPmjJHx
FkrapcXQANtbs+UwxbAJMz+hgExep8D8irRe2yiTYq2bvH3BSC84ZCpLWU7wr5YIBIBzQDXmpBbO
9hgdvpMO71PTNfdMjsA1xOIY+ZUGCXjcDdy5TqaTWde2HIVII9NQSJE0KRcxEx0MlZ+Dktme5FWB
Ka7Noretlsqpyonl0sIfY8h8VI5ffsJkx08mzaUYw3ejnIgrl45ZSBCx0MJSWBMBCOW4ZKjW0fWy
+FvVWbRAVFpSobxyYfbGFTbvRoUHrQL/C8GmNvcMMQJqzwaFSKVNN3XMECuaEXHEcSO5llbtKzFz
i8Z8L2T24SEVPEKDZKfIE5hCDcO3aRJONdKCVxHQbIgawjzixg6VAd7kkBieBjE/2eu9TAst4w6k
sH+0IZktRp7xE/ZnwCIKwVIR/DQNu8cogqpRR+S/9N/ijFex0OZ80zM2oVd5QFIWSlPg6hri0KGP
oClOATk0Pq3erCQXYqiJCevAajkbhd1pidunpMTi4s5MvMLCdDQTJ6Lt2BKsepKMinlXs05EXMXg
TYwZ8JAJSKHQpUJhzmaXTQufgWHLnWy9NOWhTtfh1C0TN7iC3DxwnEocRsJhqxSyF/o1sPIUtmdm
ClcBg56SCLiN4nMC8WdiBjJ2H0mXJ7iYm8S6hQLWUeLBn0BrRS2DBcm4cYIsreln/LHDnaSdBxFA
LJ5ucdBtrATDEiOU0jVZMBwwbnaZWNzhTZME1Q59CVqttehlmxvi7nEvl/CtntU8t/ZaMW+qVMXi
O9JCT9HHc99LdN41xYyvxIxCK/OIyV8J8QUDY38pliUuTupSCDkN3uF95pjYM+Ln/2XWXc00Kt5L
Qn+KA/mJL05IdkPDJgwNGva+Ohpi/JEoSeI1Gkeoy1j8CuJzMA97kUfY473SQi2ZOL7ict59+KQK
+a+yb6Vvok7acii0+7hddIoZ0fS4fOI0XWFI2GpgfSK4y0i6L4mdW7UF2NCSOn0alzlfQ4B1HX51
o7arpzbZW2bD1WGqwDp1gMoHSqtJWxFMCqA1hvTDoBjbMH4pUmgMQdh+48zzp9QMB6qWpscCVx9J
ExANtP05MUFwlxZ/rA7CThsBeAsFzYVeodqaprHesAsggK4VeLrwEfVKH57CwliXljYsoww03jKk
uAhrSlcfyRXzZznfdjX8uk6dc7pt1R4U2OQiZoReB8elhvioFaqOqKr+m1h6NSucDlmXzlwWNR6t
DeyjwdJ8R/X94dgk4abv56dZlJN9bsL7G+dyb3VtQ+6AD3fQj1wt9s9JDflamOW9ssA7msrCpGbN
TSeSTRBFRx/e5iAQdxiC3HpSPtyyb4wVH0pfcT7DjSrMsGJw13dzLcM5qUMo1cKdniau60xYKxq6
hummpDpSVExx7LiEWdWwHQRc9YR+iGRzh75DF/wGNaMUa/l7ri6hHEnusuobnFAEpnYTHXGpQxus
ROcCYkcpwzAsp2rTJASOSoJ/EWsUIjO4MF8sldK3VFfW/bxVGrQVghLtKQvPTExmyBaDl4vyHwvl
T0hKom1gdwzONWA1hk2336jCqiZ6S43llLwZs3D1yKKhNa1X4ma5CXUuVAOwcKCHf5ZZbBBnGd9z
FMEJgfjeNSLdjj68o6BqOYl1fSCIV7BDGNVVmY9roYrBOYQ2PE94TAYvSBxKZlLEcxNQZQzyh9gC
pgwLejTdjYHOJdWbD1mkrSvXja/e/QJtKRKsndjC80i78LMVGQrFeAbERexE8kBZFQNSNlV155Zj
wESKB0WU+l4rHYZPCsRTUcerSenEL0UfLnMNptHqx6QuoAI0JnQ+oolx8vsJjYhEDqj6cgFUhvki
Lo+0cBI1XDkEBwHhhDkwAsGG7ODPkXnRagCRAfBqYvgVKJF0NArJwZSLmVYPVTMpx/yCB9YXRobh
F73Nj4bzVCbprzlJFq6oND/sb++ZzuxFawOqrOei6kjaqHbaGIzroIreVZxpkYh3AxtqpCLmbTrG
aiwNhwyGC+kQo9nKTkRqu6cFFDEGXg24QK7ZuoAm1GJnYGFl51L/5ctxacswxQuf6gSrWh/Vdb8J
1VRajybLW47lX+pb13yO0a+kj8UK8Mkfj9GYvptSM3iznjWHalRN8C6BCKeIRBXLqj77QSU0l7u8
qLXZnUg/31tEBXYxdQuuv/m6l/wnFrp4b8qWugrKnOGGKb2WVkVvmI0CVE9EcVp3Z/OKzsnYTrZm
WhdM5SzXn31Y/1VzNfPc0adKdcaiQpZaKBe1Zf0jXKZ2UgIgDEEUPDiqcon8Cav5jH2OGc+4hBuN
Yo3rSK+T56Hu6iLXNwbMAyU1Os/HxTY0UXIqfs4qlInoEaiSxKhAJ0+r12PFyVFWt4LaRTaur3aS
x9ZGobYgkFL9jjLBeo7i8jSLiDoHWRnXeFORgWyieMlyCnlVx3tQW2ORvO4n/BJVK2+PytcA8SRj
4bfpCCu4vYmTGQ2og/+GvbprzgokfUxUhzD+rMvCOJmMo+kappXeGzcL8l2G1A/Nizq5Win85Wrn
Dbqp07kJz0ZX/wQM3tyihisxlArmyTAx5pJhfeVTdi9T+0IkkS8wlGQ1hIGxGfzpaI4juecGGCn2
mRRyFcWBIcAo9gU4CJPMiiExvwpmop7CcCTDuOveg0C4xQUuhvi6Ai+X+V2esD2TtWTvE45hTwPy
Q6VbSJZt62QTOn5SfBK3IPp5ozSnWjCxYggy5hxBqK2bj46I67qZQJPmAVGHXuNX0GBJzkpKTrmE
lkfMsaPTIiym25lxxMgOZ8eSlW5iWTTcSuaoCqP4rXfai9Jk2rslwLEy4/Ij1sdPsRWOcq0TphCd
Bs7srfS13SgqqR0Sxb6LG+7BLFVJFr+PdMUbv8ZHRoDNkJN/i5A/hvqeDSz+LbIsNpJxRT/C/qxX
3ySdUpBKJvTiYnHe+b9/DKf6PLSLoGrxqB8trYifH28PKsOcAKqXJqIfCPVc/sZ/b1re+e9hVul4
Ijwe//fj49f/z9f//frc13yuf48NE4Rx8CRh+ON/GaKRUPjEyz+Pnx7/EPCX7+oekeq/h4+fHs89
Xv335v/13P96+Hifj9tM2X9LZNBPCVJhKxuzHXklfJtp+Yr//fh49vF4VkZeEjLcPmSruNCf/E9O
AFcXitt/j4XZ//+PH/EG6Giiu5ERzoGztG2Rmi3bKqPMXYohMd9SaLeqn+EQPpkbf1RwyzFBT8lA
1nahGGq7OfRNxzIpaR4P22r+nxeS5S2GTnoaF9Xm3y883vZ4KDAU8vQh3D+eijRV3Y2yiZKtExOc
nRV8ex7ve7zy+KfIav7nNJ0vcaQg3NZzBF3x8jEeL7eypm0L+ZsICA3CsNWjbtXhCkS4iO0pHBan
UNyKjAow30/Zi6sS9FeN20sbA9D09VTbeqG3u8c/8thCiMD4cIbfOMMQwXXGKNqfUYBrkZsa089Y
ivYJG7hag5iFTQNcKAgYD4byJlpcpeLFKCp/XODLw8dzWTZA3e6Mut7UZBEUUo+84fFKH+TS7Ppl
/psOTOX//V7ahGyoU6fvfMzRvOTxFx5/uwyExXlE6Pd8ncj7f+ydyXLkSJZlf6Ul14VqhWJQQKSz
F7R54DxzAyGd7phnxfj1fWARFZ6V1SUpve9FIMxIuhE0w/D0vXvP/f37/vgtl5f942cu3xoJ+AFV
W+AK/Wun0r/27PLTl2/8w2v/t9/+/QqVl7Q7v2sPv3/2H35nGXv7mKCLzKQAhpnF5c/LASk45KJE
of842AgXpYnPThHkSNKmBicFPaP3CEPMDZLTik8Ciuu9qgOmAmTUKRIiD26UNGejG5gqpczxdbgH
q7tJyJExQnQrdQnKC8TKOvCNz74Rv4BY5seeQLerJqPUb6hcWHE6rLIhFRiuS0+MmaUMWHn6hTVC
gIFB1PvtLmD2Ybi0Alrd0HjznyjAypt04JLm1wLprBCbUJPPV4U9xN+WYX1fNAg/PdYi9gjUoIXh
UeQ/+zA2Nk2FBopaYN2l011Hi26NXR51kVs+aZcBQh1BBjFRUvR0ydYU3cy7NX7FmIzXQz2aj1IV
t5S35MMQTkEhmuwzbsHgz83mShcweEzWZSIgGLj28HOV3V0GHndVx0F3M5oMljommKbFmK5b1OBZ
6B/7EoRjQBYYxjW0xM5czZxaQHEUWmW4HxNCSa8ymruS2WKQ3EYBwPmc3ICDZ+pvJ0y9zZwAe5a+
eSqjoUN+GiBGb4NjSEjtlVD+a4qsUjMHWYdhjIOoQ9FTtDTvjc+uI4mpKdovobZplmkGjQ4T/TS9
a2sW24lToaGO8OsGqEElw7WT7Xwox/qUaYd5tqWZZk/m3nHRjkclwoDytk+RG6qsfsVlAE7dg3PS
6DC8qj36pGYaO9wCySvuU64Phl2Oh1qxdgiZwaY6bk5qgDaOeanXT7WgLjZZmeoChsnUgtHtxpsh
Nc8DUdnoxzpoml55bWiCVAcnuDWk/VXUS9+W3TE4hGmOSOOKjAuQgQXGGOLsfilyJbNgwDge1sZ1
VNBD43YGUyg2eE8yeRNCGbFE36yalnZAjQRmqkK5KlLzTWjrp5sa+4VIK/in17QDOGGi+W7Jvujd
Zryj9yhDirXUQQHmOsrfK3g0Nc2Qo2GLCddUmh5Mj1VQ4RsnFTymdu/c60z+ciQu/jh7BguLgswt
0O3a730rwKXo+TXakzfBMmGWyd5OF12vq38wDFwWfoOx8WrWerrExGd12aZKuKpZuTkzXKFmtQpG
2khg20IJcil98kZS9SPsm+ilpL0VBH61joZ4Ww+A2wL6utsgD44ijQ80M59lbQeHmnfI8C2DVmfp
PJulPme5jwbO4yJq5wO2OtvZ91bk7XUVXLdR3Bxtu+A6UuZHWgLXAhPW2BJPkjUfomIP8goRbB7c
V6V510YjSz/e797Y9A6loNXByk1d47qJ8QnIlhYeMeuoadBhpTEy8MQB8B8jqp4LAVMnyik68QDr
KLguZ5K+xJKr0QbGD5ZrKCoEJGYMvmF3slHYDRh72gakEpfzrTVA46sM4NtjktdfuUvboIWQuLZc
4Hs2+jaT1h7il7TdqtkeHnPdoDJMEMrw3iJg1pFxQ00PwM9EdDstmexxeKc67skhYyHbJo90tMwP
L/EFapgC/aVMSS+Ju12bsgw3I+UQeBz80LTQOtMBiSGRd5FhB7OiS+5iXYEPnC3cs0HH2T32PbKY
6conE2frhIim+iHYOvMoN5XSw1NXDowth6e6bQXa0uintDprVdMs2GoHze9oSpi9ihdlSozGpVuc
iIPvE0WdrrI21/BOErkx+lt2Ua5lC9+6AZPP1RSgbQGjkjE+SthxKonNGzToPNSkCDl2s2FAcU8w
VUADIuJFX7mtA1naAizkGNEtZNEBjdZCQmB6tw0STx80cX31jC6MYdVzR/Y1HY37oW3nlfTofUyV
ib1QhPZx8LofCaRUGm3F95iAJByaqKBKEy+GgGyuVYMHyYGUWevpJBwPY1untsSo0sIvLRo8llow
oAVmi3p8HLVED27HdIuN9Syr+aQR12ROmJNNCsqBKr/s43NazeQB5vmZPumtIS4C9NjelAng76lW
za7T6P+HcU6PU8MH7c/tjR0S0diRykQbgYDNFA1INo63KX3741AxWMk9bFxjYmEaLv2DGNP3AcGr
Gsf3zGWYLtzkuiO4ElEpVgtXYmESjUVUAFL4qZ/OXZOQrr6dhvw+q0yuqYX/WRUtzXyNxddtXlJP
xGhmqkeXoVYxx1BEXe7MuaG+3eVUdSUjnDQ/NwMnED07qr15/ApEfTOIqQKaw1+f4Hg3BZZsL8eC
XEdPZL46JlJdvz6gy8lrhAhQQHm5/Di4wO0YM2ODWr52+cbswcarlf1Utjo8+ZHzFmeQDZNGdMdu
IdgMy4aMSswUYfEcGVFEDFbjEyA2vkUGoIq2sKajSbWHvIRNYzjhxsmREyTooE5pXZiQsElcXbqH
QSt347IGEIp1Qc060mtLcycWvudlI/96dHn6xy4u/6CNYwZzm8sXei0p58Zlz73BfCKkEMiPGgRh
VcMGXeRrPupTVUzFjvJxpuE0pfroSY+HDNIJx3IJojF9AwBJ4xMpm+3z5p3QR1aj5OxxV6Wkv2xs
j0NBLpvL08jw6KCzYFvbuumOafAR2t04/7FTVtsO80ZP7X20HOGpzf1AJymRtJwtLC4ZatYSdEm5
bC6P/ulrvedz33QxGMHlpjm5rJwMo6KkDa0O9WXq3IRdx4KuWD7L35t2qVG7JV5aMHFe2TXDzr25
kFkviNQwBcLN1Xc3thpWwrJJlIOU6fI8XqCsc003xs+svWv06SUCu0LxApk1bx567ZkHV0Es8pbN
nCHkNXSdrQYxLKQqYLHHrsJ11pTOdaRKLhBLgtrUldbx8qgRpKpVg1vSzKAVGy6M2NqyllrMYcnB
s8s+XB65LHXXro2EK4rPlVObR9165hEdex+5wcGpoZnIFNFvWJEcTLuShI/IemAsUh4L06t3UeIB
ZWvf54E6j7VevmJsUPMRlmIdhAaWHdVax0qa1rG1kmZNpA72Khf1gZJcKhd0MqxLXxXQAiDeEG64
zyoEpRXTuqm1JXh71jLMMe+qgNhzM1ccTj5L3o2OjV/Dso65bLrlkTkEiOlncqX+wuSqIvbWTUZD
pGm84lT0JvYlgxsaVK/KR4hLWsRlQ3/1UOrZ3I3MR0kWZ3N5/y9PLVqKGWHFe97uEIDe8hlQuf25
8UcYKiQytqvZN1DgZiyIZGQhKh12ZYfipabg9ReQ8O8D8PJ0SvCUl9NMhnbrPVrW8F5VeOr6edFK
JnPSbiMxflnY47nuq8MwVqd/y20y6G1tjDcSGOHsH2juAN8MufPSswY+me7KdJNuFO4w8TF/Rywg
EtqEG+TV8Bw3/lP9ZTyVJ0ZTApEqSu2lFoS5nFAQr3A0qXP0PL+DF/seb5lYBM/RU47Wg+xTCKer
/BcQxeWkHHe0PZkgVviSGAVMV5a9YQgC3Zq0V1QC+o30ET8GQbLloj4/wpNuBkCv207soDpG/V48
zLf6R8lTMgjLKxsxBIgjZoDvktPXJOVjrd/4VS6zOORfzZV4wIzGkDDHDY7wxj3HX8RSIF6uyBTh
CKT9tC+NE94pnWyonJtxhyNE2tvI+YEYBlhNBWj0yXy/B2C1ie86xnFX2IwRWjwZdEqNLbbzZAFN
eefpR3gnz6jTABds8MdCJMgYvX5X3M6ylfvofjs38tH4sI6kG0AloGeMHYvYDt6x6EzNwGVFviev
023wPeINfx1gYJN8fTbjg42Bv1sNXLRdFpJbu14bTLGQk5+Bz84Vi+6r8o3jAAf8zHSCqdE5OyVf
OC6rVRFsTHsbNjgKcMSit8DYC+ChI0wxZoS1Qh4HKGq4oxLjuoEk3r8/o7bYjV9hfeU8/PT1Vk9I
5c8TPm+v5ma4t+u9rx6NbPcPuPa7P1jn/6Po8juixXT7979JD547deFvBronHEE54SgPaarpOC7f
//H5ECOd+fvfzH+r6nFIMsvEqCmOlYFkZZP+Mk7lPv0ikPgBymmGbmErgrtYrad8R1tRnb3r+QdH
CHUtGr1sYbtM7trckq+e81EQu8fxFe4i70D8NszOoYKhurYMMm5IlfCoG4gMWHVvEE1QBr7Mv6D7
bUmBfofCcY0HdF+99PfJQ/5UvRB6gPVv3fxMjhBr37JPG4PLrr/Jjtz70WEKDliM9XtrNzGR2Kl7
LmZoDfbIZrBTI5/Gt29hbJp2cljZa86OFZg3lKWzjTtKv6hrMMwj3eyzSxh0t/3Z9N/uU34Gxxv9
wpiAoUH9wgHlzCv3xCptDTDtPflCDCm+6Vsjfx0eGSw81XzoWG1gFfMdzmp4DQayfqRkBwyzwdm5
55DVjB8fEJvVr0gsvJtye4NRAq8uveGM9++IJOpdxRTZ++wLrf7WuLdeoGBu/U34c/5yMXZbu/gp
WziN8s0jQuTcHcQ+2tk3+ELtDxKAsU9tsN7rezCACJ7z1xKyCK4XlE0b5M6YIzlPFW6Ar2Szig+F
A66VMOSr6XZBADxZYvUTMFmsNlQHa72K13tglsA+mWBHGAhP3WK8OOFTAKe+MR8YVpoRlc6ZFjl0
8YXewGGLjO9mWlNlrA2yYdbGgT8x3Fp35neeH+r9+MkSnF3lBr5zjvX7dPLfWVfuqNy21OZ7A8fQ
egEt3Lw7HygJUYhujsnO2/yLI3+B+/+XA9+VwrRd5fq+tP/zgQ/IvkXRJYcb6fU3eJai9XKN4fB6
Vv6bXBSmVzG0rg9sMyibMBo940hqF+L3olX+FztDEMJ/2RnTtlE8C5vsg38+C51Ej27j98NNLOkV
8p8Wh6jYTLxFINpw2HD/WOOzS6BjMAe7rfRtyAAXm+Uz/pH49rI7/z/v4l/kXUjTMcmI+J//+3/9
N3kX13FLFkUT/2PkxZ//6M/IC4/4CjIqbCVdx5XEWvyZd+E7/66U/89ZF+LfXTIyCLRQniW5/PLL
eX0d/f1vlksMhi2F4geEZ/me/f+SdSGl/OfD3VdKmrZwHM+zlIXg8D8f7o3pItapw+jIQB30Tnhf
mYXeXUIGLvEWU5o5OycN0Lr9R+KFG9H7EtCoxZRWh978vlRGl41XTqxxLw9FQ9UgEPaluLADO5rh
LWfuPvHKDy1Q8Plh0ZBJ6awjK//pQgUIkeBds+Yl1NwftlPuj6sGIwL/PDkHI0DqETK225n48+p4
hVWmPgsaYkUDb7zwaZpNJtW/182P/WSmu2qeT12HXtRNXf8QGJCAWPUNa9AtdRsBcnFZZDY+5s1G
jultmm7cQR1rJHWvYiRTmEV952fnMuUfF8FXW2ELCsuA2Mur1qL35bYppIIZXVIZw26RHllLnknj
yurG4SgdarQgqPrNaOCQ0qFv7SNo+CZZXjU4Kq+GZWnEPuNyCJ80I7aZn0LBRoduSrwoYfRpxlzj
WBUzZ67ET0s++Uhnt8lUyE17kWq7oJKlQ/7l7C2IA5srbJZAqK7650ogi9MoszeeJFERGjyS+V0S
Jr/cRD2ktZQHTWB83NspUT3qLovCO6+aDtpMgNe41TFMayA4NCBMCRzXQ5vkzdFtSCMj3giFLItJ
4oleasVUeAiuhwB5JYLxAKm2ulOGWry9mj5p2t42BtqP2KT07FP2GHMA670gfZoL5hsxGXcsaZJj
Xj4kZjd/tnI71gCvWHMf8oCoSNPV62FiCkn7ytlkZfboDP668mqSN4t26dKDQfBDelapX46bWSEH
95okwOGFqzI2hvEQGdmRhPDJKyIWKPAvUlbwft40x0AbB7v3rvOmMg68NSdVl9yjHesnYh2ovEgX
14PJx2s4xl2M9jd3TMw2LDSYG9P0z/q9avB6+J0imi7tk31gQz4LK1QUc1hM3OWneJM25j02GLUq
Exk9kTa7YbXdrmTNSKDOkN/mWhu3QvJmpml4wPXzPnYONz/hUkdRRRcmLidGknJA0uzZ+H/oxcLu
rUcQJGgbYrjN0RJtjLjsdh4QXkWG89yXPnsvnaNIhnxVWgK7wqgPhqSjaFkNvmP6ZhFrtUhznnnN
wDvuONMDLdhV59nfxCPmH1F7QPJz6uz8aE8ePIQ+PdsmEWzKewrn4t0sOnMdxLG9j2Igx8jGwwot
cWm3e98CD1Ub3XSQrn0lLTh9UZxvnSi1djk0EW/g04sMnDuCyA8/IufOwFlgRhAaY1qBcVbdlDTh
dN0wK51aYzdg0aQ5NYd3rFa30nHh6xH0kfdkg+iClW4tI7HTrJkqBX2yLqdtVAmgd24Ko6AJt1UG
Phrp00paGMGzCEKXGd/KsSo3C+vSGm7o1+nWmHdO1eBx9vYyN8JHix+/ZoQN/d97V713aAcYAabB
UiS370isQouU+/2pks6XwGkRz2W1c1s+Y1BFNCIJ2S2uPEf4hzB+joe2QxPewF3L23skM2uNOYZA
eEh/cwk9oehprSHE3ZFtz7Hh3E39PIPtat+MPnpNbLDZrV1Om7mty0PDjKvkNSqn/GooJk3hZtsZ
d6oMWX+EBSIMwxefoYndkwFljtzeDli+tDr/FdGiYNz9jdwzoNyB0jL0kQS1hb+3GRXQvAl8jxQ0
7YIJ6FvdaPuqpfDqihoAoQFWofJIL1dEshnx3pkThbvOPM2ze2vFQbUr3aqC4N9+IUwkjdb3f8a1
/dahTDrIAottLKtbc7Ji2qek9UZSVDtrgAdp22iOubStJ1yVUYL9f5qmz8meYGRVMx5N1e7RT/Qb
EUfXVmidhh6lKXl455Lm7qouBg3IPT+i9t23WSzvgDE2VrBPlCh3lQ5BS034lapwuiFmXc8vCtEd
XmVwL97sfQ8EQpQkwLTEzyGRqu9qFdb7pMy+6z7+kRRecgr6CP25UfQoNF+VZlrVTF6ypj/LA7wA
tjN/NjEsILOh+daaeDsqQ7CIlSnDwjgb9qkYfk301zYmeQRD64O30QKc/4gnvAAIVYwNTQ0w98J+
rMvSQaFLfHL2pglEfRxiDPYImRZQGVkrmRh+aj/vib3sHwLHhTvmj8yTLf/UEgG/sk3xETfnwUuB
lTICgXY04hVvxhzoDSMcE8iprjJUXkFIQidGG0yhvEu673/kzmuYh+EjgyH4My1Xlfxm8qW1EzOI
FkDaL1Z731nIWlzapBiNumozhnQ1/C+T5gGyTrUKPZJMpxgpcpmnNzKKuDDXKTOVUW0VQx8mmlSr
MTM14m0/DKKQNlZGRqPvMwMQPbqqLCgtHDHjsxvNb7FdETFCzLM5AI3j+PggHdjalEK/a9fzVrOL
R0ebsE10lmCgLLfKAtdSIXADgjuHKzNiFjzFLQwOM36zlEzwWRvfjocwhgkX1KEEAqm9+DmZx9Y3
8QSqfEAkfo3MeuMM/cHLtXVXmkN+wIuBTKemN76EXU2JSpcGGFmibX9E455sVI+eIK0cd5dTbGQ1
DI2wFQFBGlCJ6whgd0Ogkiijo5AMmjtrWI+hX50r1eApdVqCS+i1k+/lblUpXjrRv1nAy4sJ1Sy6
GYHlK0Ldn1o/ognzcuPcGC1WN+bUu6JaAm5drudVgcqxMx5cr78bOIxQ2Z5E03Iax63xAxSrZQ/G
ky/gM1s9ktxW3wgSNvSsgb/G0yaKPa460/yWVpy8tuz9fRgmdJCK9o27jrMtJpjNI34A3DysshuB
61sj0e0seotcNgkvDXHiVCgnVUurthkhRJTmsdBkaAqDwW3vVodmbD/w4aFDnVR8bBzzZ6ypM4K5
2CcIGneOCre1VYJ6bT1xYKwB7Stf+FEennVlm+adKehbG072PJrwXWdFI15JEdw0Q0G/mcHeSilS
n9IELFtOrbCK3gzTemMvp1XrowGPTSN8aR0Q2Mrf2Si0cNJSRKJbW1VKRCBLnYQe6whBUgwY7cv5
QHIqDnvu1us2z7mCedbZXpLHvTTmLohsAcYG2uSKjMn7spJHB72JL1wSanJzm8+MXxrfdWmGbLrW
dPYt3ldYlnhEfVjwYiQhenDs78bzy72Lvxm7nHfdOU8cn4w8B3B9E5axtc1M0uhzb5UPnXng5s2R
YWnAHqHeeL5XUJrtrV5EJ9+i6ZR3NQWMIX+GKdRVhJEftqaZNTbtekRxf6jDcR0WvXOVDNAWqhQi
ETIJUmRCYrqSvN3EvJ8TZuMuXC6dmWKQKtpbq7I/0NsECCabE61QgpRS56PwMr2ZVNs/aYGATHbc
Hi9P656xWc+Km5s80x3HJ9ilozhFfnTQnBzrLumKVZKVCG8xQeYqxq0glut3Rgp9ZVf9ThFTzlWw
fKjRN2vJ4D9FEf6Sh2TsuZWzoQ2OsBzw/wlL53WiKdgdJ2phyK/r+t4QhFRkhYoA0tJ7jlmmEOMO
o6gAwsEag8ZiA1WSjzxPuHLnVRxwEJYviD5chOskWufza2XYLTdhwz6ZOHQl0yUi5bxBEmHlohlS
Cbr0AG+XXwbJeZbp15jMiMwjVu3uCLwu8+XJNumJUojc+lGPh2BJjnUBFjL23nokr167GGRv2/oc
ji6wtNba2aQk0qAnnE667eucATxJ8wxjSkxRIMrHcrRoN0aQQPXA9NYs3fPAQGzTps3OZm7gL0RN
Tz6MsnvHGX6QkXqfSkLHcd9a8MmRIpUypCvNZXQkUSP0E6TORK/NVhyxp9eNMac3gkiBjNES5o6Z
w6xtN3P4EVUTky1sxAErGBYOb41nE7ouua1KTdRG2v6IGxxNmZmfmhwoAvXSwdIYZZqqcI+2w8Dv
GLWKjLmw/0GL0rs2ubGvAhyzCTqQRyPpvzO/rdHwxWTzQCQOG/0SOW6+i6PvFvXhtqub8Yyn45QZ
8iSZttljzZz03Xfy/palDKP0+FrVdK96YmeoXZHvNFgB6/mt51P7nBIacmNa/Ao3Iumv+cwJIRUm
yXb1TJtFcU5H4EBlD5Q5G6Efzv4W4RCHknNQAlBm1sjw0LgxMa4dra95gfqG3g/pQn4dkHRA+eXK
iFP8OazaZO9gEDQ5SaOi8eHQcBzN/oOKunMRGihW6pn7gAIcapvECXvtgyEIE0KCYH+iwWZyS088
MYpvSZvP7QkQaipmIk5WrPhwOJNZA2/CIb0ZJ5h+YXzbaJkhDkIP3jn8/RVK66M19hmI0eCAddRB
bLJErfC+YIzM1HoWmCOYZ5U7WGmOmNrbCkV3F0fcIjE874Toz0E6Wvs257Y6lfp2HOZ3q8rvRmy3
597u5TYmERZFlA3YrVgKKxyngV1wOqJQC0XMYKKd7mVvDbhRs5dcQaNwWdyPtiRkx5k00QjAIfoK
b70Nd6PLSZFwXfmqrTjdRMEw0GSmh+6bP1rPyzhP819JWmOFTGJSiPpbyWKbKjMlAh20xaEP+ic/
Nd1TY2uksyn3+NFS65C64FxIBqRZzuTOsgJKyzK8rqr2Z+UaBLdFGsakeow73uzEWlQxninWU0UH
AM93fV0nEWyK5qVReNB9rgNbUtqJpRG9ee0BPNdC4IDxy5UGqT1myt74ULHiNn5t3AaUpkHOgCHk
Y4R666ol02MyFEBn0IxRQuc/VvRCQ/aNj63/2cbmM95p+0Dz2WrCkwhA+iOumHdIyMhix4jbczGp
/M7ZdTJ9sCf7JO2JpnXc5ht6EOTrBHjLsXeWJ4GZVk0dCuxUsDgvzZqGLEr3SkP2cYpnWcY/Z8nL
5dbE8hhqdjZCXiG1WeKQpuOgz+HAsV2UnG0ihzdhN5V949Mr5XK0dyflQk+BpKg6TgfFn4D1jjjA
WrwSbIHaO6S4J17MqZtbw3uKhxS8bwD2bjK7u2IZldbLgJTrFMzey/N5GZ1eHl02OMdIQ+6OntsS
VWDc1w1WBR+VzfGyqZcpablsLk+5eKObkEO2KvKMueuyibLB5nbURDeu6yY7aUcOVZt/h1ovOFx+
W7vswmVTWXV77BW99P/YCaFFyCQUcMqIrZzvsbk8+r89bZcJYmG0B7XsoMgdcWwVOBA0AJcnly+P
ciQFrW9+isYs1pQgLL2nmcJp2dnLI6uHckKZv+1GrCV/fNdAKcVhHx5QXcljHnbyjzfJSgp7hVQm
BadLMo+rO8INfEslyBfutLbpz2jgEJMBTKlrCvKz5vZYLpvLI5/+3B+PGj6my09oCgAJwyGIsfHQ
Kqea1aTvoCGw2hA/tCiHtdH1IeCiBEaNtfw7DG4sQPmY7MAXWI1CXH6ExM5LPuxlg9UH4uHvL/bc
UThKkEmw1r0zmhSvr1CEyS6P/GXz+2sF1fq+wDDsjgFDXtf8c5MZfbNNvfhpdJd2mzIfwpqxLt0/
Bv0Rc8Cq6wEXjOTk/t6Yl1TZZVP7elh7gtDMoXTjg+mD+9dGWu0nbs9H4AP1UVGjc0AzmrYb5uhF
XhQrCq/uj6dGKswFPlFfIYMYjknuDseUM/Fguu/dMo9Gh1Og1YzPo1UOx37ZXL6OgYy5dYrU7ar0
wNOVulgq4GXKTZR4T0olmhPfSDWxn/m7mVwP9qK3GJ2s3WOv7Y6YUhOcZ8PMGKpC2fTXJkOOfEzd
iRDAsYBjzzf5/cmREWgiZpAtoWm1CFW69lgVIqKLN8Awm0wc6CW2ayfFp1RF3Spv0Tf/3hTLL23t
Rel8+eKdtbyCiS8aTT4vWC+/CCMNuN3L88YA11VkqkGCVT6VDsddYvs5o360nYrLpMLEbwmWSUUh
GGeHROlF+sUfsGzFfso13bQ/+rEmQiMd6IvM7g9Z051ViXUYUuM66NuD16CINQLUPHNKUoBjEJE6
lHCneid491R5H0bNrhe9s+0S87G2/NcpL4ZNkG+NOCHyq0ayNmFiRTSsryNtM9d23e/EeCSrut6M
OYhD1wG974RnK7GzbUe1Dp5r8LHmfee4eHbYOzZ5T5cOx9dNZtjONmEouB8KAtoKFg37xA7k2vWO
hsyTTWllLyGEmysbXC+p81vd+R3ri8Vo1GSPZeXhBMn1L0q67tA5VKVG+hKnUCHchOul2PXZ5EDJ
5BB0l3Y5kwHgv0G/9T3V3SYlL+sZGDfmsLy2RsL38npIETIVLvNT+CjApsfO+tYojzPts55wEZgn
0sAVxXFRTq7i1CpWVkD6SD+Ay3R999PIXtpcAUZqXANkKQsu6cHwRlu6LQciof3EOXpJQ45z1rjX
qmgOadK/EPJ+3TfldKxLlmc2fxnMirq7a8GStSRQ1Mggy45iOR+M19IqngwsxTuPSW9DrwwLBdIF
m4C32Sk25Xvvg/aylNpmx7xoXmMgTUd69/Q2DHlQpvneIYEEnkCWFapFeQiHl0QPzROdrCtXDrvU
B/LnZ8Oy7Mzux9AhsKVICMDi/lb7JoICs3vrcUhRYtKA0u4nA5vsy+2790KNADBU9KVnhaV3NnDt
IPDDt9SNuG6KL97wV4mrzsvU1tegnhURcGEvv/u8f4wHxtIApsMwuJsDNa3Hjr6nb8IP9WmA0JYA
kT7Gu4ZwzzS3Pa7guOy6pPQ3tN9vi2EfiNEFUBCInVWqdOfbA9SEsIl22Rj+tFKXgI2FLh4ujn5J
RGFtzHtTQomrO1Z2olJAsbPzZCf12mr9Z1YISNZHlpiaGiFuP+gVfAy4ctahM4LmpcPIKIRbSRSX
d1MBVyGtWiCoHtOQKXruGygYrULM4NNfXbVFdMrNu+ZhlvzhqTdcU4K/zxbOeLeaTBakPY1QUnpG
nPyWlSYbRwLGaa45tTi6HPsmQRqNVsZ5t/M43xfdQ5mjiR2t8QX1G7qKXn8EBlGWhgPMnOpxSdOK
6FwkFD4lI/CoeA/5YFiHO+syjPAYaUHbhhVj6yWHpkBwgdYd3nS9DKHy4Gme2NPA8cqtqcicMZ3o
mpPrahllYF7TG9tDTtLn6mBZWQXKKwcZhnr7wb6r8jhbWyokuYu3m16MdRS19xmirDoHCPRYnju3
lSQJGXcsZj1afZNrhKeapD7bM7BkOPDhAZCHC6Y4ysx7MxAkxqSgTBn0BiEadLLHK88MT1xbN0Wp
8UrzxzYaBsHI0i5yIQJFYLGI1GNarGOUnbJ5ihissDT5Ngz+H0SQEvvRAFGSkSEmLBfXnfHDsXOi
uHrxqwGuNcyj+VLGw7zFREC+pJ0/ucNAllja0ykI0m6jbB9rXzDiNevpP/tchqmnA1STqNHdKK9u
RwPu/XSsIvd5SLW8E3uwgm3JkRdUNeaaklCF1HA/i7Z8Lkao6QqrWlpb+RatP7QAEhaK1CH6bir2
3cyFHYcBOWmhh3GN2yn5pO9g1/otQIiztAh+0z6JODGLG2khrsloTbK4vImA7/YI9d2mfpFzEhwN
knVqn6DW1oznl6EH3aADYjSn2Tk00oXEYdGihZ5vEQ+fmfEZTsZLWsWEsHi23JnRkjoV5rtpiq/7
NDRZdJHqlFUbFU1fodHOuyRAGJf17hOF56uILIM21rhTPvf/Mmo2vYaunuXhNZSAdiP81y4gl9XR
IKD4kZcogNk/qaMYIB+hrDPRcSm8LeZmnsTOBs50BS8Nf38PiCIKy88y61/rBeFhRvgKVf8Zl4Nk
XWs+tCMJLRrXQI4DcZWX4XDuRXfbktRLM9DGQRctIjwofQgwAvq4bRnEh4tl5/KNy+YPq9Eiz0vC
7IW+ZrKNZqqUy6auKU47LrpeHtEWmwoCz1z7ZpjaK5SWD3mOajJ0Vk09HLMefthvT1QgKFcuT6dA
Ey0bmXGAA9lckzft1T4pn9Acqg4/0hSAo/UYTCAyRa8rwk1MT5IxHd4Qxp8k5zDyC+1yPiq7HfdZ
kF7nGTce369uo5HbuJ+YnokktBmPVWYfUiFQANnxiA8QYTv9IuLAS+pXbpItFQpFLGJO2K0t+L3l
6/Wcyd3/Ye+8dlvXsjX9RGwwh1uSonKwZTndEA5azDnz6fujVp2z6xTQaPR9A1XacliWxDDnGP/4
Q0b8QmmaTxXw/WruGE9GyfPgExwqKhmJvrpFYd0Tq6VFkCc7kMIMfpvFKGtrmBRCeoOTHM4CaCUE
AmllUSxXk5gibJ/NdD9LXbZXgwFEhPYqmCJ8HgcdV/xq8Um0dGYzugwbRw0oO/Xl4fHs8QBli5bq
8TRfsi0Lrw9FhPm4Je3HRJGYD0v3slPL3WRyb6cqBdwkRR25Fs1vIMYEigg6CuiiqXePL2n1cKMW
YK5OA/jHImMz/OhfZ8vo52GtopiqRqNyTdnC16lGSWsaxgRgHxEpQPOHjTQvpY452Dl+PjOHIw6G
JzGLsJRS8UePfW2VTZSF/zwoOaViI0dAuY+nj59MekU6Mf1CkoTZPmwhNPY5ucdh+ZEs1+QkjogQ
k6g+Cvmw6H7++3ut3hx7aY65Uen89LlFukAk4YN7+qD+Pp4xj263Xf46IL3fsXLCyO0D7gQUkI9U
UQtPZXV5kJYWYZ5VyL+hTxajkoHNLF3Egxf6ePZ40GLyLaQB4+5maKK93AvrOAenjmK4aQp43g5v
59xvgl1k1WB5ygiLrKxM0OalrFdbjJtlo+YaW0r9xwOiG8uTA+P0IAu3EYliEygp2/rWYDTfKSFl
OCVcTgapszg27oygMWhbRmCDhbzMwO7hpwOvuSsNJPb6hNtSntPz/PeDZYrpRgpoYfMQMhvHNVvN
EHbVngtHiMPq74P138+UysJJ2+Aa1drQ9MaoOyUKVqQPyojeVas00csNLsAzJMcB2sum1VWnX3rE
bOkWsVeknwnAcR8n4kF6TucJNkdTG7prMr4G+WgHhviU5GUxsqPWubavFGmPTVUNQImOfT1raFiD
eAZPtcpNaLRM3oKy6NfdRADcwvvOSv/Zt4iMerzOkGVYpQzasuQ1OB54vjI8tebMOMfoqNX9AuBX
bXmzvboxyfAZHo2QoKFNSYr3ZpHDPsjU4kInVy3jXzT0ZYPfVctPH6x0Na/btYKw7UE67iGqu74i
4mAzox60laUXtMIqYufo6ECamclQyODJ7AGFle5bl6fnB51YXrpQQ8M2FckBRgyPr8egB/OsI45F
X3R7BGrRtgRWeFBwcDQNcfBYrt4Hj75uFFQXbKSPtx5W75Oe1tvHOy1wYUBbJbdHtPlYwiVyzBhl
oT1XqctwlhQ0XqQQJ2IV9M3jT04dIoO/f/3xNcKqv6/NqKraPR7kZrER/efrvlcaJ1fnJ6FLPsNA
WYS65rrpF5suebm6uEKk2QlnAVnwsrgs36tVVCkGUwj38YlVY/GUfRyHWGjeZ1Uy3XiEEL0cnvCQ
Q8b5y+JuYcAVQ6L8vTcfb7Gf8CvFxoA53dKWI1n59qfili7wSFPBqtMXKGX5Cpec337M+tWD2e8z
PnTU0G/Q7fXcKsvbetwvjy8fD/Pyg6EL0WVZYO6Pdz5OQuUphEcgMjmRYwy7hLP7V0+g4cRdKnCA
aQL7odv2WZbsdMx7KISZh5fTOzsYBp16lq7LpH4SUlJQy6vSmQrOPCQk5OQEGPh05/Q07gjWYrdW
fewj8UIFARjJyiWneJXVPT6cmI5C8taBrysU/FzIO7ngqMqowUtwTbuwsmezlN/jVv/QU/NUlZLl
0lGqa8yBsdLTtEMaz/O6jFF8iGK708pi3xjlh9YpzDs08RmNUmNnBqycCcsxu8k+A0ueMfCUs1Va
kiJKnihIiYixq5msq0i9ddNeqRC2ET6F8eWAoUh3iof0s2hS1ln12OEuST548QMc3zz3YJV44zGz
Dqfn1Cc6inrMDMieoirc4gdByJkp+otc4AhMfzFjH1HVk2T446pUk4nNHXJqSmUclS0OD5O6UmQa
Y4pUCpV22JZ18cMdOeO2QFEmRz4kXRHrxCYmHMFsoD8wLcj3U6Ut/jD5dsqr7rsQL5rhqz9YEiHm
wyzSKgpq1D4LyFcWXwNVIF1BrFexhDxSH9o/Eu4CUhX2T2O1SJsKwfIeNyOgc7eJYzLZ8lpcrCTW
j1Xkr7jl8TQZAxm9It4rKeva1EpnKZ0Fz1qStMfMELf/n+tJC9pO/xeup6SaCwfy/8z1xCouyouo
+Xeu57/+0X9xPY3/RcujKIbJEPffuZ7S/9JE6J9829QtSJdw6vOiXmidqrz8iO+rkm7wDlTj3xmf
lm4w4wJAkR9/8f+F8amZ0n8w+1FhyYZiwe6HjaopyHP+J+Mz0iM1TqUmJOT11sDJ2U7+EnDbMPt+
n9QaRCxTwaEiBINIAVWonnpDHS6anppEv/pY/pmrVlj8ZRkOTPhKB9TsEFIuU9NnO8xcLOSD2GUK
qN5KFc683Ax2FnWkJgf7Uoq1VxFPF+knUAbjOlbaYRZGwrk0Y34emhm72gwyP6pT/6J1EyMuOVwz
6wAlqOjBawrRTTq3vac0dEnpO+VVhbgGdLiXD2OaQIyo07U0xG8WLBXcYYPJTdMSyZKmVkyZ0N3X
6FwkjNbWQsm61sTpqzkF815UtkaeQz8MNkMr019i9/Y+6DuhAxiY8ry+yFnuTJpikUcwQ04EgMLh
hxgp0Ao7YBsf0m5JqmuUS5ubPsF6hHP7eHdqU5+vAyI/EiuuYZfWmD6DzsLPga3GxHxiCKeg2STD
bjZAhzDhPT0eWl3e4iQ3rRIRyy4CIS3mW97UIQVI0CkTVRUrq4wR1Npc3AFUJqGqpcUnjddr6hIW
mzTsy7rO8dRF6yfN/ooGosBjGRgbJ5wSjK/DF2qhEOSztEnU6V4P01a0FEaZDbIPE5qhXoxndbEF
SlnQsVQbL3XaGxADGF71ENaqXmApi0kuSvCcRQFq7Wa0vFGAJJggR/aXl2xYwsBHgh1zTGUipJ5e
qBMkoQyFv5utM7I1uc4VQjCx8ckKaKaqBle4yDA8bWeTM0jnqsXZWxQGZzMNewCccj8KxrtIBmYy
NOqTMBAJhrhqEWf7ykWXIernhvnpa+Hg5YpACGNa7iOLOrkqkBllS3WsWAOxiXqZMnIVmmNSwDZU
dNnNMXZvx4hRS9eSRznq6d8HPhobd3rtoxQRLeLHpi7waCjPgZx/4LfjFqPPLFyuyOU18fAZ/HKT
VWa0MSNMcJQQnUsO++FS9Ig+jAb7V42ExQZH+DFJCAARpWdDrzH4ntuzSeK1pMjRMcF0sQno3uQO
wmgrDC+VMQUnbFm2QgIpIVUK8ztBSoNzySEr9eZ5atB2Y85Hf2y4SiVv+0qK77oZHnNf+lbDAndH
H/kV/LX+XNXSRagklEo5lg2zCJ22RcvudPC5XHHEGFS3mGVETzgGxauxo27oW+nHzAJi93AYEhON
XXxMN4JlYa4I39NVLHKEZkLBgv1IEaYyrhj8tMcwnaF11M/Jam67xfuMgcykaweTVoCMiJDxO9FX
U5DgBoRXntXvhj4Cz5d/tDp5gSHPfifm/OtaBM4qzbe4R5FTFT4YpGpuzZjtW61m5C2wdNUcpdVU
FhdxIEA1VyC3FJHlFIx/pQKuaDAZxhpD0R0Sc9jergQ31R8Zn6sZ5z0RzqGOz1E5DVDeckjWNXEv
QsNH1AGAEIigYVaI85aGb1kpXmVEy4Ar7YbhIgaaakGhKYxLeEfVnNBSnhTi9KqUxpKI1wXRGhK8
XXEUyZzQ/K7DD0PVR++uZ7IMsvqbCxlwO/E7DOXyczqWg5M0FOwmhLLU7IlzmaHkRCpFoF+Eo903
OVI5SPBajm2DmKd/qmC4IuKucMByMwiENrWna/rjLqLlQGiMQI128TtdmI+hmnzXabUNypHSpx3+
4DQRuSK1V5sSeI+VH1aHYCY4BAaugmGk3Ve4Zs5Rvu4sA4uvLL7Ajcfrg0mMHfhXGqs/FPv8K5Up
RCQR9z0X9SWnhBTgU6bWS2iiygu1+c1SBUZvqY9Vs7ypuN6mpjvpZXOL0uozH6NLk8LSCkBHEdwy
gyjnBpme2X1m1Oi7ksQyU5MhyvRYNvYIVmG8E2hm4G4y5gZF+yy6eb9rZ6wUAIi6uvzN7+EQQHlP
x508iSe91biRR2UfZ+ZRNqCLZ/i+wjWFrqzJrsn4nLacRAXYX6gITeUNQsRnCsDhGMH0W0YiHdf0
MUGx96pegQ5XytCZordRlE5hyNhdei/FIVnB45PdRqXwh4XbovkziPyFuxMV8Ek7f0BViO9ztRAt
lGa+znn/B3fVym9g5/n+kyaJWLDC5gzlP8UcMhYbLHNTtnFxtprAWOnpjIg2JMvcfJdTPT4UBv4k
3OuWN4aFsgyjzqJ1MltCfnQZP1hhyld9Wf9iVzk6eRzXq5bXsttuFcmYXPaR+RVFIJsSHGzJx8+Y
teUm1M1VHthZ/bi9q1q9h2uPtYkheKMVnANt51dovMuclTsm4mEfMmMY8ppoLFhhhBeLezwJ+Rn3
R5lk/TaZeJPRn6jRvtTOhAJCZ1DJrewkBbQ0q5e3TYZpifUei+rzFFT0BXT2ONkUsCKiK0uP2fDX
IW0BTrNv4Le7z635NiFSoHhAJTXpZ2swvzShf9VFcgkU9W6yA3lymqyGpXHPBhwyJyKCFMEtk6l2
Ycgz7wJ8YrrxSRlRbLv4zYhQDlY1u1pewfGcDPkj8/vyxNsjuVOZXIuZElVGcjAUsjQwH4M/u6zh
QzfdVG4MFyPoNsh+uVXnrRAO7MUqMhJO8ZTJlDKVsbZgKW5GktiolvZ4GaHy7PP7oKRbq0LI2EXw
8XxdfG987Zl2m+FOqf5U45NfKbo76/TFXYb4K6KKChot3HcGFKNZNw4lnHlbqyG+nqcZrgn+FERy
KixdAIJdxlZa6pLdWY4ihasywipI7QwnrLJv2UrPraYcMb78llvtM2hexx7n1Eha59APF4ar3Zkv
PmzeEMkBgQurDjpprhvwGZG2iK2XUH/MSXY0aoDjof5irGI31XixUvWZofARvfmvXOlbOnBUSAjY
wcA7rXyTJsSMOpeYWGGOVQkbrkavFOeQOa3Sr3HVyAk8Mr/z7k8bkr5bNIxGAGeJqU2Ln9HfTckP
znfrMAHYlwLjvcnxcAm0X4z1iaP2DaDvUzn0wrGde6KmY0CyVLM+QG18tBccMaxDyrrUNoMmBDgW
5ZcpbQ1H8I3PKC/3uYKvDAXCMSg13DgSGIkcJXiolnwOibhpKP24YB25/54tSPn6/GTUwTdzqpse
CztzqSvFCvbKr6oEF03isoaS4zGBP2OMjJFUg2+iwUYay3A2GmFbsIIXTGsEIfSi7F0oE/J0O9wo
CcAwN0U/uRJaBx/DerhXe2yMrpgtoaAJxFsrLT4W0BftMRNfugnYx9S3yRATEDa+zRlMdYpTf2OS
xAL8JWM+g/Z61jXJiVprjdMDGbzWkBOxxjASy2Tmm4VOfWuKmEORwO6H0ltaC1j29iRUWyp5Wf26
VeVPK2mPcSB8G6H5DNGLJClJJ60ehlqA+CtV1G1fYgrfFOZmTq6QswaACu1FqvPSGeIWvWVzBO+W
1m3K6ceMCG5Hvq0TFjo1Igs2wj1Sx04fbmY8rBoRUWvcBGsuGQZc+bLJLLh2t+DaYTUQO/Z4qpmd
5S4e1Di98WMzEADOHz95fB1VoKpmh0X+43v//EDm2JPbvvy1fx4e/+SfLw059Hxpijb/8f1/e/nH
Lz/e2H/8TpLEe0Xu8jWWLq20evweOywO2Y+nrPvkiPzzUpUmbUxlCCnWfWD77srct8R4gI/0eJAs
8V/P/vke9in//r0Og3NYVQ62+hNSZ/Mre7zG47fU//mrf7+n7kTqVNpk8PVGxZGiWx7mrCNRIVoC
/XwRQPXxzcfvPB60GsQZLWvmNPpLEcLB/49//8+XfYL4vWsxlasYjaWM7/7rheCwAh1xhB6Gi+MC
94ZwNG1p8Yl4fM/ox8QZUnx1k3EZIuEvMiqLV2G4gKBhtuChj6edEFxyoucyELEhPAjHRj2xW83a
kX4ijm8YXevEftk+E34bzoIzfgxPyhXty7lwYI32eyoX6HW3DATfKd8QDQKnxXbxg3cgo0mHSnoX
vUgVCuzsah7Iz4hxl6ALcgh/vMdn60Tu8/zWHcfSeEpfzIsyzvYPmnSZIOXpIFEPO7gogZeR+zl4
3Z37l14FoZ9MKt0n7FrgWJ0cqE30NbDwZCsxWyMxwAQEd7Rs3f7kmgPsBXeCgX3Rf5IkjugdDg+p
qd/N0Wci7zRr5Y2lBKdpL8XXwEGy+Fq+JHtyJqRwidVmpo+fg3BFJdOxpR1hsbSe9KKquxANHO7p
6gpFwSkLnEt6Ni+w6ZgzJ+u280QJoyia2fCc7dCEtV7xvGQPE7TIzPuQ43VN2tBWlt+ZS454ipkg
dMKRR8mAmGI3d7JyZh3/Cf5MP27pe/RdtM7W6B0aYQPZhpaV3AwoQXWyYx1tTRrMDUItWmty51AD
sqs76gvTdfVlfI7Fm/B1wYyv9d15ozWOsk+v2ScLdHqJbGlTOOk1v1ZPoSPYuMWS1WO6OIbYMkWu
jWvFl+W9G9aZWEai3nwSsskqT72sc8m3bkUnYsifyLgK2j3ZYuTf4EIef8GD3NQrkNxzufqhMQ0O
1hES2fSeEznyCTB+ILhee3oj4P4MFeqAUJ655AqDN1VxaQ+R4zgXMqrrjeleMKnn27ZKlAmfMXZR
9Vz8X3PbI4vH4pXobhNBhL3WL9FR3+q/+Tf/HbjW6jdSXr6jG9EU/q/Qee0b6iouVf8SrDD3sCm/
OACgyg3XVQjbdwd9WHfv4iV/I67swq5YDLa+FVbkBNGMutGn//Fj3cyLecEtcDHUXI3q1g92FrkR
MpLUCyASJBUD8Z2b2mssM+CmBqviVt2Tz1ZwPGi4ivtZnM7B87uGgSyorbNHMyqdDYjTReVqG31k
fmUjCYRSaJJT6owOXjtr6XmCLn7DOeF0V56fo34rOPeWMfl3ifKkcONztMLH0CDE9/YSux0+UvvZ
XtKSufGeRqgwmFO7GfcSjKfcaQZizxNIN5VwD57y87RqDyVO0Pa8SW4Dpov7iBVnPe8jeGN8emYh
e9wjt8WtBUz6xInuv74LoOEFDL+Z6YOlPHcFdwBSldiFSmIHjAvd6sbfjc/Vurrj68617LQb2Ag5
ch+nfG0OdCiy9aquwVnAepz5h4vt5xgfRq92e8SOdnTqjvUZX1GFJWQ6m8dR5Rp/jTaYDTqhd1e3
9QYiVmoRbOEaq79Xyj1x1paT0qNCDHXrt59kXW/woHgB82H/ziE/xLyVzDFbdyIV7CicmKULNtYt
oHbL7czJ5CrbExwU7JaD2dy3Ej8ebmil8DfJz2V+9IOtAcaxC7K9uNN+ICmPTrKdnxY67qbTuZM3
Y7WNTuElsEEkneI42sEnIAk+FG+YRNioNj4Ryu7wi4x29DnFEwUTRw65nmn32ZPHeN74RmeZrMTj
vA3DvVdACkeHfPosyov81P1hoMNRqaHBQmja6KGj43EGe+BUWE711Zyi54UqwN2Lxdqn/JvgEiK9
UukCZUHkitbgk7MrlZLDjVzq63E+kB0Pv77/1fAba48VAQaja9mfhBHNjvknEs9oBL7xj9HxqXGF
k1Z5yQ0RFBQM14z4zuKln28JJwGJau3wHAJuMtpxs3uxrgWH2goj6nuubWd5hXaAJYwZrl0duViK
NUdlFewwx5xu4Xv3NKx748zRmfeVUzgJYZbfpmvMNr2RDA3P9HC55O9zpePXr/YfxVHiFJEO/570
bq6t8TsB89pxFwZkCREReOAeQcudP0PZX3c3yWU+qpqHFo+85xi8RoIwZY9EA+G3vCYra+TUD3d8
3+142TGuyjebJVtg5Yx7XPdZHAjvKT4JHSObLVhxDKp18BSx0Xvj90Slikdj6QL/sEA7y7kHqim+
sh0Mrg2xhOKvQiQdF8ox9PqNulx7JWYl3Wu27v3ltEeUeLH8DHCZvnw27IJfwVN6JUH8/MxbFO/1
lQ+8fOgjS8/ob6Nww/22jdGubhtvCNz51G56++//g2E7f0NK3wcrr7mNIrlJNjE7q+SEx6fjP+WX
4lbcUFaG6gaLR45EjtNS4ZCQNurr9EfsOtu8z+pZo9hdxx7vAJ9VzBkpwBFlEvFBnkzixMJahi98
y+7sDCwjbx2ZfaQh4hGP4cyZ65ztzd9BlV9B1t9wWcW/5h+98TTMZmv2KPgbdsO9Uq3ZoDx2Uj7g
aGdP0jeJcCpHRfqW73jTsZyn1o9BeLfs+OBzWODEV6J5Zu0c7bYqG5EHIcLWmh2PO71au5AkiW7D
b804xQEZUIHtP83b6K51JNw2JXZOpxLqCz6E4YuFWxTXwCl5ofH+bt/EGzfqPXQFVvWdsq8+Y7dy
WDxZM3BsJsHj29gPs50Ethfsuy99V265Dd6DL/9T2Cvbah94hKRzBJ3eY4vdFc2laujH7fQifwV7
zHNGEBCHNKfHwuSyOLkoRUkPSF8v8FZtADrCVDBGOXFymhspiRxCot6Xk6iwZah27L4sl2m17kGN
7HIPpzSKV6yOi++33WJa9YUV7sxaF3BsmjXaXe58jMr2uFI6NA2CBFhBOTQXn7hrUfAsHlvZZsou
ap/uVfYvIcGU2dX9Q0++O+qObGN0V8OEXnjFYxwp2aJ73AacWj3eauo+xsLnmSRQ5742dUfY7F1x
jfMPydOWZU+1h8sVDAoCMznlCuN2u/usz6EXW5dyY6zWvgea5foe9pMOV/mz4kaoB1bD03j2h3NQ
faeGk/1UwkudBs74Cx3DXlTrAtZ+4g5LSSFqcOW6SB3clSpb4Ro/Fyfd4VrONjATmeuOKZ5bm9b4
SvG4pN4r8SHGfH5+Uct0JW5x3WW7AqYajSsQp+Yf8AlSyRhbC/mP/FJPDpxhbBVlrDTNxevVP/ob
q/9UMUfiBgp2LDvSJvXyc+zO6kb5Zm1jP6GQlgxy90ab27/jzGVPRGzUlke5Ut2QTVYjwNiWQpUb
78zKE+KYv+vulVPdCBYi9aZk4XApQSmoy57F4xlXCO25IoOBdVvbwZIL+tXPvO99xjFE4dlN4sKq
7RsH049ZvmGnQGWN/wf3mNvmT6jeiAu+zuWm9NS7ehfKTePo92GtmJQRH0j0KDXeMM7Yio3db0FM
ZOIceT+zDbpiZ88SQYhYgrYrQOJ64byvkxoE2h6BoAMMM1grnIIsbFYx7niE+XiS4UJHvSOTesYs
AiQIY6Z8i5oRS83dqJ6BVOYU31hPePbjUzA6DCs+jXdfxQ7iNEJjBAL+JRbi7/Fg7cPwr0tWKu95
zZ5QFluOdnoWaDz2xISVV0oX4EcRoaeKtTQHDgUw53LF7d8lr8kObh/380QaGJ+lsl/UYQO1XWMo
7ujHaSeu+m5FzEmRXMY99v8YBlheW+0gmoXiXVAPcbTKcvczEh1BWomURfIKOR8UYTJQnPkdD7/u
VF+mG7Gkg+yJxXNfrSpytFFPd654a6KN0OImjbSVIm2r6EeluU7Cqz9+mJFTBMviksZ29tmKNhXh
WwvCTAlO5AW+GnjTYUNteYYFZ2JFgTGtg+5MgTrvcSrjmtfOAI3GrmMXECkxEKnS1B395ehxKUEI
uQrJC0Od3VQRlLjVviGohsMl9SaC+CAL0YTB8yhdadOXmzp70sPdSE61/4LcnJA8OrScQf5Sviis
ZjgJoDho8GeAyCzCAqHbUi4Y2VDOsD+2JUoZZ7ib94HYYyDZ2o0nzzLWleolqEbT4iWEOBcKXqmR
H+HAFoS8350Z0gbERxqsbSgZ0H55ebJL6o2R7avARXk7dn/oE0jHMq9gIQQKATWiAmBGp5DhowF+
u3ns4rmQJp5vrSbhQHbmSJ6L4ebB+rxcfhvrTMxfbq0ZxyQIZ3/K8Dne5sZG8nSMyeIDspylCGMf
0VwmPdNTUHlpeACOzjFpGQ4JFCF8Fcipes4wnIGwDonU0cXeoUbkf3FK6Aa1Nidg/qYajGxMGJOE
fblKLhkpqJ2bhsySGZfsQ9ZB9cs0LjWOxOKOLVuS0QB/D58q2NZ3SdIAvcydXUnWnLtMdHRBHOAG
isZKZ/h1IHiV1SvgVO1Avqc7i42IJXfsDYrHNs3omBQ9NdpM1MvCTfPazAutDQTI/K2WVln462PU
d2dLwqux2EbjC2+aNQc/XwXDHLAQtiIKJta6GeGA4PYvbA/sT3Z75r4xdwojbO8s8eNtWIGHe9Qd
7TXbgF85lV2dgq/kqz18ltvC/ix/lc349jPTiZGf4bS/ECnRgUo0pdFXxMI0HTkJbwY1DZfoK7BA
Y9cXetlNdMyeYnLWwdhBZmnvvoRrHLjjVecgfSlufx71VfxD2WU4CtuYcXgpvVJwMSWvbua2/u7f
WEtzt3qCksaIHcSwhqJFa8Q0iSkyVSqP+Tk7Jjs+kN1etc0CHqzrwVs2XlD371jwWG7o9JJdfs7L
zfA8/nY1/iEA7RB0RZjBOMLbFEVhtcqaT2QTQkmutmfJ4B7masThmyuzWQ4oqARf4YyobiPzkDDP
vYRuNRyXjWS8cm/xSnTu6+rGMlY8dWtuOHKizkR8maxZh/zKzcsdmXrMysELWNMx1OlsmfJp2IRI
ju1xKx2QFnOVTXecmn9xzcbnzVgZvkvuB2IRDyzqj3iTnrjdeZWMpuHS4rb/i5wiu0dP2ZOxL9bG
ivJOPz7eT9Cf4x9xNR8spFU0jhT5ZblJz353zuOP2YDd6vGhcNHjz5F1Fp9QJCwt0TIw7W4KBZX1
Fr/Tkxue1NvaRr4DMAnfCYqkH6N0uyd5RaXDApnjdOJyHvLxwqXVnulUpTfKS91pP6CNk26geGdx
yxk31vUZrASPLJCnyMurlUhFy8EhCidypB+AI3zOqEUBq5nopz6NCzk9+MuQaoA+9VP/aEqPuwZZ
A0zy5LgYnlgvdzTowUq+jYNH097jw4ER1kexllx8R+GlorBMVkpyrvVzlP2B2f7Gi7eDZ3FFsx1X
Cy0kbleLryha6xekQngRslVrh/YSGHb3PJzS0JO3PmoYqlkV3w1/I37oYB/6hRjb5s4FtPXXfAaZ
BC+HJasja3zbu8lXfahRJL4QQif8+IjVFCeDuNCvAs+6ILuaVMcHeanc4KDn3lv1o62Hw/AS7v23
+jawYS7EQxv6cmDa4ZNDrue1Nt5wx5UK52vcxeTvsetknltMWCs56LicNHHZ7Ct8y778P/21sA4F
l1e5AeZKoutAbgzCfq4I/SXCaaUFtT+U/fvwxX7Gy3xma9SmVfvxVv7JWoYf4E30bKrwp2wYqjrJ
Z3p9KRwlODRPVCPdp852XTiyvMchln+ZFxsYF8CMLXUs6EBzh36PE5gJzdWF2IqP2H5tPVOb7zOc
vALmom4Hhil/YF/pcSLF5BScpmHbyd4k79H/xPMBqojs0UywPedXaoHsU57WLwbTMK7UygEBAcAA
6WGdhlwHDrKAHfe4XkNZdJvjlKz5rijvBa6hcSsw0GjQ/oA1r+JDk2DJssmMW+mvBvVCVGT5BuZb
EpLHwkMdajb77NVETV4/c9aPIgPgbp/0fNSzhVa6SL8LNoIKDC4OSjxi95lxEKd3EDqcBETj4OeY
yH/zPxAZFCn28p+T4u8z3CKG8mYZT2Oz15c6VI8uhDFuymLzQqiLGf6mmdsLe16jA/Ff+3/yM1f9
D9iIpa5HXDq2prHC9IQF7UCPv+Ajtt5vfA97N8UluqPYNM+GvyfTQaG7ItrpA5yOEj4H86DipVsC
sIRR7Tv4JzPusasbdHLNd9q39o3/LIjbRnuznqv8GeOrPblK+kcnbGi8Tlz3LcXKusdnfNW+9Sw/
c7miDGPVONNpmPmXiIyPrcrM+QDumB5ZUXkZ4Gu6Nm5m5I4N5W/k1ZvYi0kOJqNkeOWPfdNcYmcJ
hac7B/TrALryHvFbRrdpj2/CiW2ocFlUMWbTGfxQRJW4TW0yUJu1nJwiUu97b9wsB+STd9Rgg4GQ
gUY3XrpodkTYYQRm4pn0WAGzI8vtlV69vGZ0NXp8Gr85Wv0btRbLGlxvwpCXq49Fj7rU/+hu4Q+t
C3UxWC4LZOSxLBkbTHxoLPZ3opb9j0i9UmLGgH7MhDDfmr9Z3cb3TFr3/A6mWPMelnRzLKFtXgE1
uLVOVO3ptgmOpAp2wwaFSfgmkZ/wLTHEJnIeaMaXvGS9pbW3xwiuyFpU3f5NHLjTnqBUYIESv5Db
gBmBEJ0bcyWcOMhR5cRghSpKvlV3HG7qCqFjZVNXe9xkynd7hUt2APCoQGsoQM0PqnsouzwF/acV
oqSQwKyoEXTOwWtArwirY0UxIikbPIQ6WFM2gp0/qeVRUSW6A+ROssCwIqWxWlOWwIyIyewFVboP
2hsBKDCtgl28fReuYKIsGesk3AEp8bY4Qeq6H+4BcM6fJaG+QiCDddeMiNEeYqKDeQ9cEByvHU2S
/zEh1nvLz8mKve2DwybGbz51Fv23CUKDNBenV/F7tM2P6BNvO5aGJVrzNn7zl1hWSIsFl2KHH7pz
CnvqRaepdVDcmcVB+Vax7mCB+wyvOKCOyxWYvPoxTcLKP8bJ2dDW/LG0ubJqyRwZeoursumv2SuT
ZG06VA4aKi5Cfr8MDrhItd8kr1lXskq5iZmyr+DZHbnAQZpMNp+iBFFccUBYuzAPAuyhUV/aEbgb
w8oybWLem2ktJq9a/ZZNa0ZtDEPpX5MXfhdgp6K4SFayhuXEmrPRawyXViOQEG11BRfrgvkNT/h3
A5nx7rjB7ZtOYuAw1Wv+lJVvA8BR7Y3pjEm4x0ch/Glhx5C8DsIUYRyE7+Vnbnl6sCnVLZVzo+wx
6BJY+nnPgu/m9XoKNmmNQeG0XDzR0nmwZNNaQ36BIsFVmTP7XXEeVOw5z3NP27YKBdI5Xbb29Eph
QsSa8vAb5t3zXvnLPFEkrmfwdM5uBUBaLceGz9sqN16QlYzjUbKkjC/8NKudRkNjugJN5DktV3ET
F+30S6wtarMNg/WC2zv8LcdfDmo3fPDPeZ2lXcEY0CZ2lTpL2XNY+UR8Lhy1EOtNhIgqG96SxLye
ERg/nqHXLPMco7+wF3LEOV4q+n/Li0k4wJ6Z/srmzRgkjnaAPfTFJWcRiPKTq5O/STgt+x7W9YWI
r5aXAjZWi5J6zRe8/cUdcSlHNH4kg1uzUrLz0VJLZIEzzYRq34FqLgkzzOVI18meiHWicuSkss9z
VMmLEgA0cBDmjmfiDbWl9DjrLWFs8opri8wWy3d597xHThGrApeSr7HCPf1v9s5rN25tS7S/0uh3
bjCH18pJkiVbsq0XQg6bOYdF8uvvmNQ+rXM2Dhrd97kNo1AsVWRca4YxtO4zePdj8xoUW37RTzBF
wfexOul04xC2v/Ojk0EMbTwQJyFUOfh72Wn9vWt8Y19hkZCr6ch7v38yn0AjCl+BcnZiGvaGX8Y+
yfSktjYtO6ra80X5rTMVQT2T4eNUn1n9fDwX/vLzvFxYrbyezLhs0Ih+vj2/PU12bEZ+Dju9tedb
cRDxF57C5lDHiZ61RH42vxYuI18NWTWrjlXAd8SJxe9f0PVCZtO2vIjvy04gGwlt5rArqWyDN7nB
6MGkMZb0DQCaW3hhshHlXHsYJRFo2frDbr5Tr3zw+JksgcaM6cDn8nP4v3SfeUOXMI9zz+YhLpwx
a7btz57zwFHh2GcO+cK69s55ICvgwEkkCazvqH9jI/JmcmDQmcHB4OyGhmTdF+9Ku33vH9iwHCB8
Bk9ks/ML+ZkifNyN7rF5jMwTArdm2S/FI/YMnqQvlIEy+qVXhEN5awSnot4u4WEiqxvsjC9ufiV4
omUEEz6zz/PhIVXPGqWc+9n7lPYA/3ZIKfk9il2J8eDJW25sBp6LO0T2RQpTCD+jpWNySukrEXeG
O+yrlHU+q99Oi/Bzw1rmW/A8NoPhY7vbLIQUvE3r3cVUTFrPvCDWbyq4ka9j/2BTTpC4C3pIjnwS
Ofc4Z8B9STUOdZKAwVXJ0ecx7eNb8bUXYFfM6ljc9sOVnaz/NDyRII1aetd3EbyYL/S5EfWo+33c
MGyhSudIis0nmH2Iyp0VvyGO4dtxHDvxnpHjNBxofdSDbV3AdSvPT0uw43QSDI9j/z2lTAw6ZYUT
xr6jpE03D7676cy7nrdfDghOKh2wyjGw9lSMZcAGnYPufGUb8zXH8AvHntd9ZpGfKxVc9EYmJ8bl
oXHyRlhpO2NkvyXNJSsW+wslOoBPEkrC2XnP6+rfFHsiOKW1YZ/0m2d7Or+vYQq2aaKkppL1k5U7
5sJZu1W0obxMZ2rd+GWzBnlQjkXWj4P5rsCmR9Zp236yX4jhsTawi1UZ/fo79kJqCjwkRtqeFVZ2
p7g4sOlYUWStLVDvyyGn4JMVyxmI5dbZy0Sq3Nd875QycSyqF9Yp9mcO5fcDssM0vTkQk/vF72O7
CvqMvJ0t8UmVX4MfzWPIb2LixM6YwNehXFi+Er9fCoI8iou2sbsPCeZvIhrnQsxj1Ald2uIZEDMf
LzvBSChzO7I9J7BCVJwcbaKczMpomyeLtZ8CFDSE1DbDOG9U0GyPnD23NOMXmMLVU+J+42AMrvFP
qlSLJ9lfMcwzSfVpnkcY+iqieS55tPhMG5tZW6W+ZLBYphsMvX2jfdWp8VwPOx+w1ChrGp8fZzKi
fEiH2iNDC6ujFG5Xs4+V58Q5ooYqjL2scBcf2LYOts4LGANp36S8iwwj1VM7sGbhfB2tR0r6my/E
2ajkCPyrAVTDgHCVPnp5SDuPnAr5+Q2iA3NXU373ibbnarjxAJu6aa4tnulxF5A4p4blPnxhjerm
HZVdKZF7c8cRUHEOMTdBd3Id+h9Orf9D9mvrkW1JoFUnIUrak6amnkA9RS/0jHFkDd2BgksiuZyB
SsKklHMV4Nw8+gn8C+dh0ww4+zPFb+7pYCSqCP0F628xnhz7WNCIH+05PVf2hd2QXwFNgAm0xkCd
A5TOJiYlr0x3m/QcxPd9RAH4IdI5ePZ9eqSVgiONikz4CpV6035SscJpzP5NC2lwmvynotp3rFOG
N8E3r32sux01iLInIVvWtxiMHQYpdxB1O1bPcrWiezJ7UXMd4yuwLWf8hk9Psl6EEoT0wBhhm7cX
zlUmIadeLjQci5m+td8IIwSkaY51c2LHZFOwy1LxT0iqTI7zPUegQ6yPQZa34RApo2cuRuBR2NtJ
4in/yp84tcuYIz53j9oPlv34zFtF8ReXn1BjkNxyJS91rvYXLXsCvVbM8it4ZlVvZREK18DZ9QgJ
I6bY2ttMAVa9rRz3GrWf34mI8PFet+PI453JOHHdzrmc0iDH3kjSf5YTiFyzcyJpZ84kFCjDnivL
A7vN4DxyWFKcHnYvDSf67lCPF5O3gsOSwFv6yQ5PDiS0Hjl0+4ST3Y4dChn9xA+i2IGjAsXvAoJD
Pxo9Tb6U941sMGpghqvlnCJ10uaDTug82tVIKEjE4OQbr/ZyIpDD6tbKx5ARFyeW9WTEwVp/yr+z
z3BI8c04Ey3Q4vgG6+mckxFnDjZRhEUmP7PROPMUFK246ABJL1GoteveKAjhBMX1TnPOPH04KubN
jJeRRVKzBtaaPjjkrsld61NnzNh8F4Etqtl3ZOzDtY9gGYusQwZnHC36xBz1ExkcJyBsL0kGNiuv
KiIac6gZvwsMLna05KQTUnD7BQsj+UwZ7/FWDEGgqDP6WTr6OygQTmG2lyN7f6QwB585Zoin5dbb
EzUBpGQYifHrvZ+c5D8RG2WyznxVLt9UnhD+pLIIEKuUGfQdVX9nKi0IJnNxbokwhYzIAU1ohn/w
J6TW2w7zINhQTh6OdKFHAq+ymn5iZcqy1pZki0bHTXl7TrArrwuwiEmVcMoIyVX34AUQZpS9B5iW
YJOVjtA5qeSclQ4VxbUfE+l6R+ZpXQJhbenglGjXLc40rL3Sf50ein42L6A6NmjVsrOuYhLdGk0t
iQuz6QPBFQ1hBKDENDmSYFdsR8H6TwGBs1ZwXHObPdSJqx2MhS3SKftZuTDYorDzaKyQLv7etpBY
fWlsn4mU9K0Dp8anvji/2iJ6UyEXmdri6hwvxXHw9injmijy8VBRNL1RPZDezDM+T75V4QPllevL
Q9edD2HmP6wPtRl8kcDSP69/o/t2Pk1EblZ2VWnCxVrRVcD6WWXDeEtMaiqz/7qBfUMh5rpMtzbF
oGaNUrHhwG3tugGfH//jxuqOjlNxKVEw93Q6ZT+ekLrpT392hz3OcZJAcgNWjV7oj+X13oguHdNb
cZ7FR5asPrL1rlCDadOu6hSD4XLVGio7tawFHWRPLd1PHsdIQr0/WBP7r2/ra1SEtk3W55TZcXf9
Ce8vlFdT2clfPh6sgd4B8mmPfUespxWQ2PrJ600qWyZbv856d33QqZuvgU4mcbLoVooKHS2t8MhW
Etl6o2Txb4+tf1gfM4f4ZKVucrQ8dSu83DiUY9RQ6tLUe5UykYsjjTNA89LqZrdJm9hDHEd7QdSp
nT46DrxjqsyDG3g7VzCN1bHT6mdFZGahWMzxJbydEhkopz+7HDN9qIU/IA7kjAiaSxUG/V41DomR
hZq2lBBa6o0UEIxl9ACp7zhYNkzrWhrp4o6YZ+3jnfA6Ops86vhRu26yeRDHofpU91yQR90BDA1Z
23JnpkT5fTtJN6FvZzTh+8spmPwfRfe5hVXJgW+UXwADaAnTdT0plOBvYB6bNYkQgiR26z7OpvGp
0ecKdAaFr40KN/3E8GSm5vAIdQvkGA1aTAmIzwG/t2JgU4nNJa0ah6eOusqaqJWf5eFdXQxnZzzr
iQFEJm+bXTgNZA195lqBI9R0RRyqhkxJc9++mFjT0XzokDrsWmSTu9a7AbxpmZE3v6ZB4wIdMQxy
ibZFNcl0kApk67kI0Xvo4bfo4p2RMivUyMosed0dUHGwUkd/p0bio4FuHWpFRUhhMMMoquQFlveZ
evrEVSRoU+bPlecB3VuoQaqIMvsECF2FHzkE/j1WrDS4MjaR1xcrYO5QTow2dUSuNCvuxoKOtumV
/kC4Xt5Ixb+1ia34WzMjDYuHGCL0UNnHvMLSRQTIMTLnNFkaF6+cwWNckoABPgYkk3zUQmxHTxZF
TRt9+0s1lHdFY342ZdZFK8TZJ4RIqRcdtB6VRwEONsVRM2reUY/V92rgG2taRlGg5t+GfnLuda5d
3oDFYYoAjicUe9Zx9t3rGY3qzo8gDZxbNHCBK5AVbOsk+mq4zAypYx7wOMzXIR6nXaOXJVDnkUYJ
PA6j51S73JDhvVGFQF/L/I52MFWpESPXaN2VZv24qIEKKRK9tKAsV8NzvjWmRSkBiJJ6SABXKH/X
+MfcjKJHVT50MG2+JhJCdOCZWv61mMpzmlTwUmoHmQcwAEdr7zzPgWvf9K9u5BgHpRpqVTh4t43m
PQ4GoNE8mZNdHvmJ7ETMcxJvJJrj/SrrRW0WRW9batu/Go3hXIQGtncZj2gjCDs/8ShmAG0i1J9r
7BnOGcvnLl3mgkolRfNeOnzPEo0s0NKDsTO4/s72Ly/y1Em1NPbR9nFvQbW4WFjooWcw+p/DN8dy
aefI1B09+NFx/lI03mG0jeDW1s2Nfpr+St8KWmXjT2vuaKABzrLnEkCugYKk3rk6jpEegRGbHK77
vjCai7489S7Ns13XQtykOII2v7M/elSxmTOTpDrNtyAKOniKBZS+0PmFx6A4wjA/hkbOlaDtnlVb
vioX8uw4GMfFyu9lT6dTN9D3jpabN6FL+WCodmYS7/2YljdFi0pjdMeJ8bcdnDT44SpB/qq7tNqU
AbUe7aJwJXIdCXogl0tIs7diVixFi5SBeA0dsI3jQZ9nvOWYlS6QGXApIxcWL5x32RA3W5qGz4au
LWfwB/OjHcentHau7CLFjzw07/yS4vW+mp6NgnncQJubq8isqY6wYdx+B2dxsv1euy4JZRoosmkA
mxYEYH73DP1oOlu6dYNxxKUb0O4YAVScB+u3o5jf0HGliAkwKjKM+X4iv6uilIlQ4iwPjm19bQOj
I/KxJOc2sRgTVgSi0DAwJ6QJy60xtGrtOJ0rw6VuMCaLjC0wNKxdZdGmozfuZ7hAdKtHtjomYRBv
Z+AelwW+qJtXtyGprUecFV9C2GZII7rsbKbPblTp931Y34Josa4m+Sw3S8wv/TyS1KEUq2uRvSnv
dZqDX2gok1Ohkj9nAb6YVvxc7SJaTs+V/wqodbwFdXUXNnN+xPeV0D2gv6HMZTYfks9CD3DT6xpp
rxG/lO7IPI9Mxpwbd4a2cNr0R3XQMi/ew7t/YS/d1o1W46DumZ6PQIy1wMnBZGlkASPns621+3xx
3D0tpb/TKbylnQnSJS7y7VIz7KxUggOb2W6ekXZpBIzsCyJ5gJXcCzQ5okOHxIOESOgdjgStnMBY
tmEtd6gcjjT2hwJhjgTHjCgp2zuu+bUXVHMs0GYl+OYCjnMjQGdlg3Z2FNMjD9hzAfXZGME/R3Cg
NS8iKWaNyx6i2E64GjQ+Bj3kcbTPDaeWQZDSSgcubUKZhm76fYI63Qp+OhAQ9QKR2hY0dS+Q6spV
n22ihg+pt2XlVUcomwnincjbwRfBr5DNlLgI+DqEgG0KCrsygGL3gsfuXIIKjSCzaf95UDC0Ub/e
aylQbU/w2jYD+mYFbgt62wALHQuMu4TKnUPnZvxuv4UC7GZnfyoF4V3D8k7A6p4KwXu7cL61OXgy
hPstAHBNBwVu1zutAg1ej91zILDwUbDhhgDEF0jiiSDFK4GLNy5xqhbcuCvg8UwQ5L3az/gFBExu
jJSawGVqNlVPbM6HX+7okGBsQZov6XhH16OAzmnc3wyCPq+Xb42g0COBopcjv9+l42URYPocP/gC
UOdsi9GYYtaZ2YB5neGsY+mZbq2g1+P4VyQo9mGFsmtPSiDtWQCuPYTbngjAPSCzpAvS3Ra4ewTl
PerAvWtnC/Z7IxB4s58IA8CFbwqG9Bmk+FiQ8Q7seAOGfCsw+cYnCN7Cl08ENA8KBvXQzGH86sGh
twVI7xgj6WYY9aAus3tjukM2E98GKPaaD85eGQEJQo9JDtNwTNlMeAV+j5UFvyQ8/DYJzsocvnPB
wZxhItkSokR9VByne5y2zq0OIKsZC8CfUmJMcPcBLFbnlDq4WZD8ukmDr0OA3hJcfwq3X1MA/Nvm
5gjQH55XcweYgLD+zICFCIG/4v/xAFgGQoAMM4AjioBMZAFKtAEz/gBfRAKtKAVAQh5dkQyA+4Xw
oPTqpDwY5zvmSM7VmDT07rPxFeTpwzIo987I2xfa1rlO+lRvpjSkmyannGkmuDeXwafMZVMCiqCq
ybSg+MXkOUWR4BqPRMz6vMDT0qNQWHAplCJVsBv0CspFtJBjXEjHsXnpRMJQk1+H7vDkip6hshE1
tKJsGHWy9I1REhpuETokmB16UTx0Dg13dHSd8feYZxsPRCdCiEHUEAy+iZx53fiFqWl97GjDphyY
xUK0Ejl+iVlEEzHGCSXqCZBQr63dPBQVfvRhWYCXcvC42YzyHKqZ4bi21OQyJNWKQ+lO8wFBNe6o
hGGExpkpH7CwV8RBwtR+rRj77q1C/120+MMnXQHYRtF+TZqTJ1KNWvQaCs9GJsKNXKHeCEckHBY2
jsnlNFkqOi0sUXWE3RdLz/07mP+7sjKrU5VIGwIFn6XhGNcpXPBLjcbJBA5xYj5tqUVGBZSuZ5F+
mOyFckYKwphQX4yszR6HJEiP8UByPZO2SJjoEPrd2brpYXY0ihEdSZOE28CZBD1ELzF4xo0PDeGC
tyzmeoUUqwCyhs7LYnhy9K18pvV7jl58B2nVkpX0jlXGt+hbLqKUlEH9zhV5SicaFWBIXPNErTKL
ZEVx+TmETv6si4DFtQ3jUy1SFlv0LLaIWiZRttQib7GxuFAGmB5rEbvEYnjB9NLMKF8Ckb80WGAG
tz4vooUpRBCzYIoJRRkTiDymJYxWRvxY0cr0qFs2HaaZRl+YGDrIZ5SvU0YmQhotRU2DJu6bpiUA
sEy0NWmNwKadKUcXpY0vchsM5v1lof8F641mor/x8eCYIsRhumuJIGdpRZXTXUdX1Dk4dFxcOhVO
nbBkouANZDX1kMt33pNFL717JkO7EiOPEjUPIRZ9k9pFSdphoX6r/zaG0wthB4fpk89ZDsdPJbIf
JdqfcEAAtJj5ORMlkFe3nFuwBHVk+rUWbVAmAqEckxDsV++oLUCyYODJLFQfL3NnUTgZkTMcGDqX
OZWhhkX3iYGoyBNlka3G80h4BLJhcheL1sgWwRH7J6dTkR6loj9inMZwGyOSSWfB1ceRNCVcVnXR
JrG3cECLSskVqVKLXalbLUucRmcRL9WR7fOE9ntlKWvfz+2rDqOPpGLCIQr734mXb0aiP8cpqcJl
JC3vi+bJFOFTKOonrWxe4wQZlCVaKJda805EUXFD9kPUUYtIpCZsUlgRxqMugindXzb+DxVRfj3H
NaUamgvDX6RUbfwISvBleZdVEQAe8FeVeKwWfFZajtgqd7524/hzSgF2A+TRIdh7cFmSpN6YxG7N
Diq/iLJmKkgMzFmW7l9GTFpxe7MM/bUVwVZhBVeorjNOLuRbRTo+daLjwvH12xJBl+/QFTKKtKsT
fZeT5N9c9VKL1muxP8OseywmGMCDiL8yUYDFuMBGkYLp2MEm0YSBWP9zbILx1Afk8uDWjFzpl+AI
QQkNLRo+4be8aQuZBcNV+3Gm90yjhm9vZF85YY1wzTEjEiZKr/WY/EywmdWiNYvgcaClHFBe0DjC
VdXDgBZ0urF3BQ2SYEd7G3xjutcHbR8UrCS4FdWxQefQYFUTu5qBZs1Dt1aLd60UA9tgTLdxxMlm
RhYD/vhuEVtbMOJtcxG4TdA1thNKtyjF7UbY7VyI7c2SxkTxvwVzXxMQx7EXq4XBlGjixBfXizku
buxvJSo5S5xy6dD9KF22OMA2nEIinkNAB5TAO3Qo6TKPuV3t00ojtrpBvHVMked0siGBBPRtsdU5
fOx414nvzhXz3TTiwLM4PDeoL8L7EUFeQpqyR5jniDlvcOlBbSlg5kyDvuBNKygnMsS2N6PdcxKS
cZqNiLxrf5QGXVAI+uZOTH02zj4654l/o/Ebuu7bNOL1y51PgXj+MjH+wfzAtyIWQE1jxNwRSw94
Dy3vHnsxBsYKd+D/gd7+R6A3F83Ffwd6u8KbfvtXzNv7S/7CvAX2H1DeiWnovmND+TeC//yPv6y+
hm7+oTu2qbs+uDXbdmCw/YP0pv+hyz9gIAFjPsim/0J6AwFn+Lppub7BNfJ/Q3ozwMxDcvtnlTUf
YOmebxmuY/mm64r7958c7k3YE/BHGHU1wvBspTm5fHvQb16vpstCgAjnDtaxuT4a89DQ6ircTqbp
IDtXvObg+Zh+lwSHE5e98/rYyvJc740MXd8pn+tiZWILYhh1WpfK8DUJ7fq8clY/ELuWtPK3w2AB
pDp9PLw+a/3b+tg7+vXjz33VIU+zsmvrmTmt/D7u3MSO9k6T7wst+T4WFc1awWYMG+28QmAzPeu3
ltAG/C5mhLPCX0HeI0VJK7JQbkPbRgAxlCTSlzKa6EC0tZ2Ktfiam8mEVMj9c+yH5ugZY2zfmFOe
/KG1d4soWtabLpR4r59/NQq6+GZrwimgs77PNVZdWY8ehada72vHlRa8kktXQunfFqfael06msS6
ZXrwwJpvnJhK0HwZ7nLO+BcDrkPtEtphUjRd1pscehSlXQXJKJu5euhBEkM9TVECGYr1RlskiL/e
dfSBsnN+c8XQF5YGQbyPr/EOMhaa8XpvveF79IdOV49/gxmvROP1sZ7+7AnGwqlMG64BPbk6gSuk
zrxxKyBS0IUIVlKzTE7Z8iVL5mrQtNcbnbGNUaXjaeqXdtMXNS3ofa4dljGWidNEjxjQ7EU/JEY7
XdyEzApn5Fm8MGFIv5vZQLUfiInRIpDQ0+KM2dEPuhuG2+GSEDJUnlWdpodIGwNyWLBpLINsNTg3
b2NVYUVPwUg9qw6boWGKV5Bu5RqqX+xa2A1NQO1GSNGCMogVo5shIOzfVojviuBcb8yh0E+6T85f
ML9JVZGfG+K7dyxnlIaCIOYmRIb5fq+aibMb+VO42F+9edZ2LkdVssRwnhvD9eltOiNwOfhxmJxK
InGnIB3IuJPiSt18RsUDMlzVXHezyqbrUIeUHSPRoLYu+DNoCmuL5ods6LLQkPP+7LqISPevz7S7
31P3PZyo7NcpjUQxwtodHm2Q6QfD8/Q90YGfWmdB3snbaVcZ3kDfCKjlRhJ1Q7HMuxrH4wa4Cn3L
YUsvLADjizv7HEuNMI7X1eBkBsVddf30t99eMi24RKEXH/uwhfygDIqAtIaTgNys99Zj0ykUaK/1
buhotOWUzmmgn9EagzNUw1/t2MQUt95c8MgAyvxgqyCxbZo4CJjkTPQYzXq5X5gs0bpD5Uc8Sux5
iClXHOov7kRD1TJ6ADja8TnXSANmQ8DVtGyODM5PbTUBBA/pxOmVflHibHJz5pkwiQgE0i8pbF+X
kA/deFFlbv25o0AGy9NWyRDJL2mNDOew3TN2p7AgjdtdMxIK9/Ri1xqqvdg2Y8S85EzRy2JdTMZ+
JpFZSJ4RiFMP/VCaLiboQDM7aDUGyz7vCesA4TplY8JUzklKmno6Chxp0zTEL2TJTWKZf91bH/OV
Me4z8orr0e9LSq9Zk31LFRX70aWgOa6xLYeOTqlAR5ElEO12rxv2uPdbaCXvXynLp1MzIgCVc9D6
kLdSjTUDFkH+ZgzQLldydQYe7UJBsJ2SoS5rvIce5XHOUrI5133h/a7deFShUx0fkMdk9lq9BiDK
9yslPIMcOkcmLQfMesgSY4XunYXBdxbQYhGN93HNGcLUB2JNEW3qlv8pMCg1XFelzdh3pkxYJeCa
kO88u+bjUmj7pIJ90qMO2ek5aN71/Lue38pYv042Yq91yY+ZvoUkVzZem5Qn3ai1YxapR1JwdJmi
6WTCcocGrSP3MpCFWaH2ngdurq2IgC7g8FqB3ztQ8DXTVUdX6PjkVUHkyz0rhWXjUfpV4Fmm353N
8YHkWRdDc/hF2GjYx8xb8ObxUcQrOe151u9ZkP2VwPuVYPzrQyVQf0eY/9NK+l/vrjeePPh+D1jS
PnQ5bbYiDJhcmorjWSwCtvgEcrs6E4IurosYB9CqFVfiQvR7i4qgECkBaQ96ogXIPzVDeg6ptgwi
OaH0+BeFFLSI5YBIRXCJ2IuoeC6eyo6Bbk+/XYMXAb3CqV1FCaJMsESe4NFKHmCYRoUgj80iWghy
OprAdU2Xzvfmo6EjTiz16eI0Y0BFBEf8McTbUIrAIXHzu3HSp5NS0wJ5adyoOWW6IuKHVBQQoeVE
ILiMs2+iYxNNRCPCiFTUEQEOiQaHGtA6Y6pDKi4rjbIc2T5Fq/+1pdbFmIEQeefpYgfbol/UEYPZ
00QLTYrJok/G6DQ0Am3vUVtdgm6XNxwH6w2JhvRg1eXLyj1KxKWxcovWm1KGPT7wyzM6Jsp3hI/0
/gemIISOeywc7aQeCo+OSYTknL96yoJMcGYd7o5UJB4TNg8zzjat6D1qPB8Jvo+5Y/CGMZt6MW2g
IhcryIQdxMcSUoguBF2XvuswiDA52ocYRXInNiDIDek2U1/nLO/2zhASta0xU8ftHq0tTjIMJUZs
aacWZwlRpC+ZSExi0Zn4ZJ4c/CYdXA/FwbhZ5uSuJ+pzNGMC8iJFgfXdktgLXgr43L1a5hOk5EON
SaVbjSqoVQYcK9MqWxHtSisClsgmQipKFsIgL+5I+VqCYIQQ8H3BGM+Sbp4kz5DlxBYt5t59l+k3
PanGA+CdV6/qAbakAc5oAKXQRYF+lHglvGWkAFInb4BFJm8o98g98tegSncVphmuA2+1qGe0GglN
LzoaKuGN0ySKmiZ2nwucNXyyJwqbEE44nYZy9RHBjdRFlaK88UV+g6lg2HsixCEVyQQSR04ispxa
tDmTCHQ6rkk+Rh3YotQG4tjpdWQ7I9adtk2lQsud6U1n9De5v6htB3ET9F8Mg/6zfqDgLqpJhZSj
QcLTz0jxL+6+WJJ9hfUnwhbbiAaIQu0whX2XRy6dx3rxOnXWt3lWNC3GBbljk2ZByYbhzrnO0yug
1fhqOu05mBMgOB6Fs47nPZidVZ5tNbN6g/DNrxw0FPTweB7h52qVGn1yRXGUiezIFO3RIP4jESFN
jt5Dx6BojSLMekrvJhdwZMjA4aA5Tg2yPHo2GwqBKpEsdaJb6qkL5Kp6KEnlbKsSRyY40h0SgASP
a0mhu3ZIRN/EV8D9SWV66xEtLWL8TrY2vvpDbwNA11+UEwACcck01MXJrvzvJHOoGMcZVYo8qrtz
TVRStkilPNFLDXimSnxTnoindFFQGbiocpxUZMvqzfhliB4zN7nGbg/Mg6qSTRvTSGhhtbJ9OiPr
TqehDzhWklSfCEDSzZAFMBMVT59EkOVgyvLElpVSBDe3e6eOQbek3jOlR5SXLumtpzQFyAWZiJpG
KSJly6nCyTWLnMubadhpIf5MTvCrE4FXKCovW6Rerui9NBF9Veo04f0aRQDmDAMJUpGCacQXeq+h
nmugaGOgZC6EdZDPVcz8BAJQjF0MuQz0Zvp5sI5VhfNL0+pjbfDD9Y5idkpGoqD6Gk3ljyge+NoK
hVmzIDMb2DAb04t/VB4dux7GM5Ck+Q8SFW8jCB3FdPngG8M30rHMoUSY1mNOmyMUakaQx3NdnI2K
gXZQTASLGpc5E6Ln4jJO0AYgQ7dMsRzSKof1CR8365M+Fsv1lZUMLdcH//bn/8/HiqSl0LROJhLX
vcXoKJJZjSVXXGMKqUlbl9cbQoPV5WNRrYS5ddllzAgn0btrw5LaqoXB3nqvd/UaFAhNK5l7pxXM
GdaH1xvkQP/81I/H1nsuxm+Kiv7rnf7253VxvUnxJr5/2Pw5Iw35fn99c11zovMcE7WSb/XxxHXx
/QM+3mfMQj5wsV3KZtdXr38iPj0ew7w/kzAM9gs1XqsbajVCDRAnaXq1SX+ss+31wfXm4zkfj1Wz
iF0+lv/2HG9EnE5Q/TsEW0KNMk34uPl4brZOGD6W1+eskqqPx8qhThECrc/8t99sCCjjzvySfo2P
t8tJHhwAYz7WdmtRcq+8T4YfgRA3GGiPHVP7j5tVv7QuNqiFIJ6QLqfEhbHWWEsY5ePv78v//m+r
r2l9l/X5xPmkrLxiLkuzKGNyvp1L6+yoi/VTpsJ5SWHmw3p3sT0mFVMDil1qAx0pdlzvfdwkUqX3
sag3Iy141Nl/PLTeK7WIIqduUtvsX1+wvv7fPcYRA93h4+0/nqMHwWNdV1TbUooCdnHkpi1/E5Sn
tbLW/OP/hTD/RyFM2/fN/y6EeS5/JW/l299UFfKaf6gq7D+8wLYczwywOtmuj/rirxim7/+hB7pn
27rhO877n/4RwzT+8JzAI4jpOYbt2j6Bxw76OiILy/uDqAHb17UCPzAdz//fxDAJiP4thkn41DJ8
3i5wLJMUu8kX/OcY5mB2MbGSScNSsV/s4Zi7hHK0NCke8B1mWEf1bU4O9L5LSWO7KWWv9kwN9WzQ
0WGn5s6a7CPlGYpOpiTaaD2lBYPKjwUFfNTovPVdAdo9M3+4jAV2dmk8tq5pX8YseWu8OKaILaYB
nHzYtWLytcsLLogp+jw0VrRGkWLYLxV9Hg0ZpXM/fesH+M86KLB6sNDVKdRevtnuMqx7yHHI0VhF
dQvyktjDPN7GOchA39CIzEnnzsH/QWsIvddNk/6YzR69hg0NopuQ/ITkH+t+eNLaENKOjWgyIb/L
zBXQ4UwKw7L8LVPJGfpIuJsd77XSpvgwFwBD6ja/UlK34SlgxCJ11CI6sYfRACbW7du2guNil78c
1/me5sWWmuEakXD950gZr3GgUjy/DhUFb6Qugp0ZUwGYFt6R1CGGZa1pkVHarOKJzpPRoA4NVEpO
jeA+dMAqVlzy9fEtHoLfGSyJxvRuRU7Xemk86BEqvYYEx2Kr5sVpcFvX2WnI+xgE69Tf2+lwaweG
bUkSfypamz6/yv4R2XH/ENuoTL3MbU5VpH/WPhexQUK5A6pvFTV9oeL/JsZGFVdwHzBKf2yGP9P+
ITDN6KsCcLwrFJgfyzN/DrbnXZQ7bCmkZ+AeJMu9DRKWKcYTp3FzOxe2+9DkjxmYeW80UvoHc9Iy
CyCtDhT0uei1J80qjW1TZb/chjjCuNDcRTiWrm9NRcfEK56qEV5RbBgLDWDU2BA17XaGZz12Pl3w
XObI9NX5z7AK8kvq1Ucw3lhklYIV72ndKfG15wTCc1C21mMcg1pBLwT2eI5K0tF86ZK+nu6lmiqi
VWB2KJkydlalunPoURVnuvWNUMc+6ELKki38VxNtg6Yzq+usq+ie6sBgj3ZygAHnflZZVX/lsjuD
yPIRYe3qvMKLJhPWMbKJ8PR5v1timhWpJaBedKbnf1CnXktesrr63C01crMJup7ZdQct94Ax6Y57
coPZ3BpZ2RxI4pE4gd6AEpoLA6JknA33rvOK4Gv6wlyHVlASgEtkYjpipusPmr6bTY2ZuAIVUzUP
HlWq26kECzkUdO+YnnczquwA7drZ6tged0ov4luid2/J4pJmmyFQMXj2guHVTKlcmmlN8xPYOFlf
P2l+5Nzy5tFTqX+fpbSZpqnMM0c93Y3e7yxK0jOj5F24UB9h2B7x1z76ocEjyboZneRS/ETBcc9s
eT6WU3sy2d50dMecaUCWWw5lJTpVzCURsow5tm/QRUJE2qXgxqZkWM0Uzg4u8lwdWqFdObhL0Eiq
ZKt6mk3w7HxL5+aaDj5AL2Zog7/8JJhgk2Jw76K0pt97qmkmj/rHwRl+Z3oUbDWzp6ktmUHRaxMM
PYqEeirAc7xDT80dYuSb3YNVHcsBNLzFVJOSOrO7jww8CdF83xPUpXSBMucCBqoX0uRZ4evwaimA
cCJ/T2XxaezTO83CkmC5NezpcbhIdmpTGxU9t4XubQd1M9g7zhjoTnA5oDpFLuW6JYDdkujZ6FO/
MDDbxXtzZ+ec2pPA0jZM83ajYT1hIv7uYESge6C44nzOzSE5FEP2/9g7r+XWse2KfhFuIYdXkACY
SZHKLyhJR0LOGV/vAbZ91b5lu+x3V3WdpkiJAQR2WGvOMV8EFQEcHdaeddAERiMh9sUiTLNViOpJ
wM9ZI1p5sc0ZI3SwWaL1Gg6j5uQSsK5Z7k2PLvtHUMmnPgrpkScF0T+lge1OE9aU+zb1EH1LRUH3
w8rJgJjNx6wXfFelk3MjBJc9QTZ4ShFc/JnCUMRmPtDJFJBqKuYW47hEhxnKRkx7GU2YZf4EZJkS
vtc9le2iXou+zXZsPT1D5z1olROT1evFavc6ZxAcZv0VgfCxENMrOrprK1Z/VLPjcuyz1jUG8+Cn
THnR1FFBG8+S2LDbIvSO6gAyBWo4OL/JZQ47L5hFRNAoukvxRPRkee4k4ykPpfloSg2VhhK/mVK9
UZBGFCwJByWxBDcp5o+xiktvlsJvZS7GQ2z8IPZY2hPbXJiI+NSV7VRKTh5L3YOhpEDT5rPix/NV
paa0khPf6caOzMsunqgAku9TNREk00E7x9akUWAAKSemwCnnmtyWBoVYoHbsmI1bQOqQLIjiWW99
Wxk1FG9ph/6xE0pMsXN1aMz5w1fzeJeUybNuiMPJKjUCSxBxauVYXrORbj/VaE9VGQ0Q66MZD7Rj
XeUPgxxCzqCnxXaYxOW8FlI48eV3aeXioU4IdlQimcKODqqy1uvdxMbVzOT4iJ2HAgbJjx77a+iU
YL1jIjJc2q3TSvKtYq+Iw+dM4rAYV8IzDUenU63PHuWq01am5hmxjKEgUwGfFPlF0PSdFDDfRtb8
J+m7z3jqVPgcoBerNp/2DErUuxXm8Szc56Z2m2JrXAu+iDMeUf6qmyXg0W31KCYscZAd9I7GDqWU
sAaOmJDWcj4/VuUC8WtTIqiZC4WpWdwg5OIF0mNYWljuJoazdinP1LhCY13Qt2OdYaiLw2lVJo2K
JBQu+ij9yDQGPbMkp70VNwHK0PWEV4RkItK7MyboamPN0rRJlAD9ZKmz+qIZ7cUsE+0gTGB1tiaW
mRwfwvTa1IQFtez36VUlRw07SMb6aY9m6RIgyYSD2FNgJT1ia/Tyh18htteNzjgGvRjaaiNInmZg
5RXV9o9E+PihQk291tIMgyifJH6kdVeupKL+M+LlcAupeNLV6r0tFfwFDdNIoCo6dM3dVLTpLWpr
Zc1oaEq4HEohe0FspAJRoP4xUdAKexIPqTUzZpej4MjC/Bk1xK1IcX6qCw00gQZ6R4rUZ7mVZATh
9CVTt7fq5/Ii+oJXmBmtFdIb1lIpqa7ZwvOO+9TpAnCrYjF/hQPadZmVHmi/DkcyXLzSyBjhy5xG
X1J55QTmKJulN6FrGxZxNQMbXQnbTOHCTEhVrYgw3tavqO0wrkmA2QqhpMHSi0QFAeArYEMxRZAq
qVHc08lhHzsR/rjAGqSY42dTqcRznB1DwbpFSYvsNmqplUqTo1YDm/9mn8XmvGunCFoOVdRspJ1g
oaJioB9JlMDKNxAVbrq9JMGKE2LZrXHpAG1hFWhAem7xHW5b/xgWWXlKVBE9FyWTiVW+vbT6VrFK
vtzeD7XKGwURD1l+k+ncumO+xNMqNVtZY2Ira8kieUlLB9IZAfBlglTQmqupsnX+Y6SGj5GPDmrq
a/a0QYLn0FTJy20LGHzmUt+/V/W1JbbY/W3K3O9kjS1tk/qqDBYhELVqlpDeGEz5W+pfeNqw1UW4
AzR1xIE7jICOl4fzqBVdrRPPVUcGKLNItbvf+q9+/K/uG3v6E1ZC3/n+t2md1rAM9HL13z7L/ff8
SgIVqo9dCuRCQKq3vPr9Hy3JiH35/bllDb+mt0xX/veRv928/+b9OQNdme3KrHF+/PPZBPKF7GDp
cYomi6m/nvd/+ymlAAC1VkIq4hJ4n+ggO7+v9tcnuD9VUoIrzBTB+uuF7/cVNanFvpGY2FxJk7BQ
5FdtoWzuuRFGrcAEuz9QLGfA/RaVmGyNZXT62wO4zeaVsZxlqUoOm9S2i/Z35pQKrSTma15Smu//
+HFOfEJCUuASG7sMdX/7536fpYwhYvxEtrM8nr22Szfy0sfplpIU/dEWYhe69uauSRFz+tNplj7J
yxcaZpyh7RI4fK9FikuN837rX+5TVRNeUt95k8G6ZS9XWu6RyrdTp5QVoFZC1F067Ppy7cjaEmMh
1ux+wxy+ZQh8so8iOIZF0GOZp6L6+8+9IvpbIL0/UOjIh3HQoiimBSss4oVg7gUohMkhWnr6v/f3
/Wi5UyEDRUTE0BklO24Eeqv7H1mhfg2lHIyapi5N3qCinHd/RDGIlpD7enN/w+VyrO+3/uVHeZo6
d1b3nNGHu3N5eQdp00JgX9rVv97TX38qLWtSAEIAIXozVbt6cdzebbT3H/+6j/OOZr/tJdsLzf7d
BZruJa450XCyq+6LaNleini7Ca+1M7jJgUbc8WXc5TalUbdaN2uQQ6RFGZuhW8Wae5l3L4ProS+3
dew2DjW9KT5YvgMXzL95fbLLDqm58vwb1f0HMlncA6loK7CwKwTx3rxr1niBnbflxQ4MzkgELkm9
fonN1YF64/YlN9YvpuDq5+mLO7o1L4iM4aZR5ij+SACakxsXtpcdXvxbm1I+oNvQ0cpaoV3Zsgp+
4L1BM+PFPZ6bc/sHwS8oQ2k3r4Y1HsRhjaS+qNeldctmAvI4Fqgu+XTDa1Qd1fzMYcE+3cyXQvvi
8EwAUOd5a2mv9GpHjEvn3BqQf8EtkXdVQziYg6VUFNymW5HGa03nar7oSKBhv89bUaYjVpx4bf+Y
toGTslIfLoPLVyKB9sOzEx/SZINXvv8h/oKahUG8SbgSwUQOBBB5yaEzEfPapEXQsMcEDU6SSQEP
Lh8LsRBxuZ1lm4HDDX60VLect2QmjCEVAlr9jnoO8f8Pe5wUWQHiG7PdSreOJhvmL8wIMp6vge3w
RnrvfYd7tXJVDuCs1nVyG+ggVgQSNrsodY2cttH9xcaThDg/tQtipl3Gj6Rb8eoEkwn6OtrqAewn
W0nX4nlmXjvixLEiWG4sN7pVPjk0mQIkt1gOzJt5RhhlnlP/wozl8D/1pXBkj/FOfkBWomE2SNdz
6yXP07SKnpUz3dxyRbIMAu1rfpSlVX8MdwKfFEi/DaISeD0mZvNThEUPqAPNuxd+ipcUcvew7r9R
N+XvHJ1sevavjIp036FofnTO7IaP/TpKVtPnpnkUXQfxTHMAZ1sf20Xf+10WcGW22UqBVZ5+5tkx
HjBsJc+YfWscWUl1FK+dTcbEWrStH59ckzXKL3R5p/IYwqE85U9peRC2PyoXTjW89dsRxq+8Mdwi
22qMGKUPA33kjO5DvKt+S39XgQtga+lO+Rl/FN65XRziD06BThNc0dgiOV/HTncjaIa4vVX9LMVb
s/WQPpXUk7HVPOvlg7X48ctHKfOC6qHJ3/jztrYDeTke6pnMQNIg+dYl9tjkleAHTsl2PHM+8pV1
q5d5J355PEj3yrHepXhDAB6b95TYRYcTKZ03+Y8FmwiCw1UqyQ4589oENJoUBX/4+kuwelw35YoS
oloeObmCcB0ay0vSspzNWz4fw2c+HE/JBRHyxRrNtYWqC3CZuCIFAhDBP6Ti4Kvp0S4BQGWrAh1h
rwoY/G6T/COAvWy7D87kpt7K0toSDmFw5KRMSflEWK+63Em2F29mbza79H6UFii0+VSVj1b51Sl/
8HECFyKLcFvUW3FpkiJ9cXnKKD4I9SdyQ5Un0MwbPOlMPvQs7nsStvJFTDBtpO5D8S+9whIQamH1
kExwamkm52+iiL23uMjl0bzN0q6CUyLwjQxpAUH7RcoBatDrZS9OcBBPERZ/XqBZFM84tYKahdia
a49aIJ1WrsnENW2+905Zkd7zZUo2gq16280X69088w3LNXpMRtuPaGWeW/sUhVfNm764gnXJZnji
MmFYQIaCDcTYZNZ5UJ0P5QH6CxwcfN0k78wZoye3+DoMr9/1zjJ2M8a+cSrxGp60674YV0c2RYuw
m1E3/9H4weGtHPJn6kwTloUVIkw+aWB9lCTn3ITvmkLdO5dKg8n/S3RLB/hcvVET1uQnfEY3/Qxc
6z40RShNKBhkjrLjJOSdjLvpFXr0iWNA3Y0qhjerr5201gPHP08uGpDgkZEzOvDFkTPE0TK6J96C
yi9rxqp3UGC8mqM7uenEizP6MJSOXGsdnjWmRX8j7SRvmTnUYE3gyYp8wszJnxksEe8sJypVvhi/
Cp/B8MzooBNBy0zKWS88qa2X/wjvBZO74PaohFmfk1qkS0DbnGxLpAt/n8Xvb+pNOH5jhRO/OHTd
mncxSWuuJC7H5enjFyopDLtatIWhwBXMowzV95dXMk9AJnYwytWH8U6sqy08GQ8AWl6h1r0bD0x/
fI+GxwEKP4YvbnjYJetlFgFigowAewPzMBO7yBe9zIQqOCFb2glPfcg3xbmh5JdS5ozEBQqz150f
Zr5RTi3eK6KJVXZgY8/pUJMxMe5AoXgsJQlu5yOvxK8PzjymC2NFh31XHZi/zDPfkoVUdjUzEzcu
3caD8ZDxfMwH3ovxzjbsUPLE4UCuCL3tleKJZ+EoPEk7viT+e4mfx9UXB0G/LTg9go6ZSDji3OTz
87E4+ZlC+91ynWr70gmJjbalB6YXTV9rxXP6LN/4GosD07N/M46AlHGOM0Z5VsyQxbEyjsx+2gNX
GZjRgFiqMN/LfH8rOXCEacMrzh5TGZoNqHfeYHHOcLKwJ+UvGSqps7qMos3rG3/MGiXjlLayPUNl
sM3nTXTgi2fwSZ8ZBqUdVx79kgOfjDHglcldO+LLt5V3Pg2OLeZQjiwBHA7h0ryU8f5WN4eICfWd
f6h4TpB61sEjp322nQIHboDACV06fC/wIIm4/ci1fcM8uW0dFdLdcrLS8+ENGB5HOKvXCgj65a8Q
cTU7InU5zdIf3haTPy/BVnzedPWm9C/NF5e1b3h8KwRyMmVPmEjBZTGuHgFcRVtWUcKBv5wILzJv
y1mqOqnkyZzoB0UknQLEw2lksaC6ZAP8UIs3We0FV4MYG6wo4436AVJuvXti3gQ4ZFbvKDZtTRsu
HILiEF3iiXADrwN5QYwXnK2cHNjtUtPnrG8h28l8k3YJetfAtNIdhSvufOKeOMQaYl90zxQ/emol
YdPwe3Xnqr2+T8NoM8Mxy7atgfAKPARJOpcalpD+WNI+SGW4htJKO36YNzbpNgQHhoZxGeRk6Nxo
Wk+B8XSZqtecuDVCFt+X8ByRasAqEKBpCTCBiZZr2y1C2cNy8KX8vkRzo+H2kmZUFl2WTaXDtGr2
e+gY0kHPzgxRBmWJ4WvcoYm0oqUIUJLLF78xnQ48zRAhcYkX0N6B0GTHdwvrWBbP2pH4aejQKQ0R
yUMckucna3TUfjkNzOJYAtLllZ6CBjmaCXHXnaYLK3Nx8OTiGHK6siJWSWwRIZMz+LNy5fu5Bkdy
0JFBhtm3yV7/manVeIrZUXICB47CdUpSx7liTbOcYAckhLz47YtzdvFr2vxsZJvRWg8XjOvNWz+t
SJprNVsSvVRzSWrutuIWoiODebeJVeybLnMgoI7QPKFaGh9G8ySJyPDs3lrriuN5HoNcW1+Fpxp+
uOoUr4xXnAGIzMgnFke3s44ZyyH8BeVRjdbklnkFtmxGAYYVnNwUwAj61iFbLquVcSVC8vMU0RHE
x6Hf84bZcXBueSFwGPY7TK+s3Wy5tM1HyA3UHVmkM2M03UY6EcjJ2iBlncJCeGCCWinHcQJWts4O
zdfY/JCdpgsPdPdwEYO80Hbyo/RerbkoDc8niIMA73qPqclkacyADDwObg7S7nUqjpeKijREoo3x
adUSG/7wrZLJJPgISLhjKxNZtzQm+eo58fjDgC0qaafXud4vertt9k6YyWjsVG2NCD7s7LBdkVOW
guo4Rw+Cw9rSWdwQGxa2KBr7fVujOo0OIgsS5di8tVzuhDaaK1at7VXf0LJIwazBHbXLE9DRLy65
Ap0YkxW8DjQwUMZscgMQxbYs5Cxga1sqX4hiX6g3TdTjoeVSHfpqf5imjD0eAvQzAlnyAEYJpPfa
5FjE60DYpNIqOw5Hio80O5sHMVrNqPR8u9rRaaF7EroiBUSWLpmwQs0s9lgwHWAUtaPTEhso1+pb
9IgovVB71DRqT6ZyEd8qYTmFRi7lzO67P6YV2pdKAAfrZoROckd4gY6ed88DnW5tFwuvUL1Ai43K
UahIvNxN7Lyfi8HWTlPuQv5TGflJrRtfRw06ZLtq1mIHpu8bK7c9vXXaSiq9GKYWj9A9Iqs3d0WC
CbuHNjzjh6OhzkcB4FTmm4DVs742CkcXXXyej1dr1bjh6b4wkdm1kXhAECaew6uledl38DRdmPAQ
85nRXhUJ4nwscCUmwQaROaHaO+w+cCwPscIyxCOu4U9Akf7akVu3z5kGSeog4NAidO7R37DpBhfa
hUqxLvR0J8YGAQrtQLPnQbs2FIbVdQzeseVKagmVrN4Nxp/qHf0o3zU7p5AYFtawtoWe9eo/YChV
/mCozZ79d1VgyCDBFiL0DbdwbmtXqwvs8hOBZZ9vy8obaEaSsWMr/ZphTHr3D9a1raRVQSQ0p2W/
ieFqYv0JbLXfRp4pH/yW8WVEVmZzKpCByVJVIKJ5UxkHrT3VNNrr/dQ/RBryvcc5fUWwX4STF4Zv
Cm+Aiq4NyDpTK0hTiA4OEnTuc/o1K+vuIX8b3vFKwYJgBmaU3IPQW0cHvCW+be2aA7MyGXJ9a9ef
/D88p2f5qb3QiIHNmGQ2xWi9PxO2hezBV9fECoyMF7EjHDOZqEGnotKG8OCDEaMhd4yMdGDmlGgb
sAoOTPMDcFRv2i1mZKSz/jua2IN2CBndSFsMJEZCzNIsDz5M7xhs5kco3wN7yzB3Ao5IvwVTFOjv
qBeAZALR3mHhZq3Mfm81hx+QlC4iBcJ1uVVX2ApcyWXMZDJ3qufAXJtH/YkiiyNTGhaPqsYOY4cC
EcI+zGfQYnTaKdzRR7VcbPrImql2uJhUQMvrgl2nwE2WbMJ9wILeOgv7/ZRtaWPoD8GeeLsnudtU
YPU9kE4ahbkzo6n6lhzHvSYSJQCvXNlA0rySwkvQV8hwBqjIJtr7LK2peDMqJPzaeChyep0fRJQR
95qv6td8m9P8AWNfeeKSIOst9t9d6amHDieRXV1u/gk278E4C5QUbONcOMVenOzxBjJBcEJWofIh
+xnZ3pEZuB4fIwe+GVyV+VV/C967J9zFYrgjtg3M5YbR58iXRdIDeSDECFZLYEn5Il2JEy2IbzgV
8r4wnZoECmKoSVUh8gG2Pia0yKW1NaAUh2UQsNjyiiOY6GVMhJzJmH8qCSHbGk7zGr8wihLaUTuB
ByKlVbZRzPi9L0hSM2zEo131XkaPerTmKpaulXqZyiUKdla3pvTDqstEsMakVIOdgrHJ5j8jvaqG
Hf/G1onpjxWC0C+bmKxA9FEDmKUlvPy/0FqOeMrVfDAdqD5OALV7C6g7YczcI8tNqavwXoJtRh6m
CdULZPiqOwyvBhIE1rTmS3YgrVMzoUxOXv2CRqEgkiOFZUGoaSnsaWaxq6KlQ6vNRBhkYxjAYmWu
p6MMl5DGDK553cagNLbbvNvI4wIBHSSu1viJ5SY79Ok1AeQ5YSCyS8ewCNJ9oNQvbvNlz46SxIl4
EbJmBJdqhnCc3A/OApnQHGYB3JvOFL/jFUhXIJ1O4Wb4Q+uPXRORIwZ9Ezt4Snv2nobTvhBXi8TC
jp47A8LyRj3iXHpbRu/giSwSxit3fE1+opfuE/NLQfl9LX1pVE/W1gZDjQ8ZdiL17JBM7+QNQAxW
UEwwjpMzx8ch2Okh+IEMwBiHuoAVx0GqSNu0aUDJzYFygEwZJXQqO93SZkIfRPkABRArBEZ5FB3E
EMWv5Q06fOMRIKhtzC2L/Ntc7cimveLJkWLXLz+KB6Jg4HrqyX5JSZjX1ik8k6Ag5Zv0xWSuGjDc
o2m3/T9xLjnJNjO7Q6NoyorDmBOGsYveMFVTKVKW3Uv43EteB1YTd+gVThLw4cmq3spnSqpfbfzA
SkvwMvXStetAPVnogRtKwgBui3nD0JHsrN72EXH32+EkvZhvnWCTGcv2niASDmh/a1/0Nww8Ni1x
kiIBAsKBHzdBfEk61Gtkc7Jz/+YIsAv8yU5y8a0RRdGqB+U6sp54MshI7I/Jh8y+F78kpwggAsIN
sxWWM5oEBe3ll/Kz/Cy+rKO2q9nZU9c4IxdALaBUNwwqaP9XhFY4LFW+Y5g3ZLpFF3JQ9pwd0QZ6
help57F8CKgv7NqdKP34h5bM4PKldJZV2dl/zJVN0JIzuCSZSCMkEP+7aoCc68tgwJSUkigkP5lR
a3+3NjnW8yYgxSszHNlwBIfMYrboy9fCltHrP7FQkKLBjkfZhDTd9uOm3YxoEVbLcST8l+hQlrdH
60QmBflUxSkxXqGwmy6RG5jkbcQbt6t1Ct7pV4XEoIpv4o0a2/MHDSB9GW2fwxeWUCAQSMRYEQxc
kVcMGZBEEYIsGPZ7srMA5VEXPyuM5LgqKH4SbSqzjwesr72Mf3CjFe/KtXjytx2k/JdoNz5yJn5X
8aUHJFDFz2qwM66PqsBn+6pWRCzbxpJIORNcekp2cM+YkTkV/Au5gmTieD3xM0vID5JF+5yEG0Lx
ZPGVPJKVvmNxRnUjkR/awd8kw7a1Ho1COLRCcPlLan4PL7/f/EtwXk+sIUUy7pDzK0Q59LiAlk7T
1AkGAq+e1seADPx+n1VFe/S4TFRLC+uuk0YiQUFGrilJxvMwkWX5H49ky63fH9UAhF8sPrZiji55
6c7d//7+z/1XWxUyDKO+FqK2rBgH/vPfJ3ItbYNhF4n4k1tBr/76J1h+vN/nlwNL9NDUPiw0Q47O
dnhBIv7+6r/85f0BbfHS/f5KUZMelibNTdNMxH916NCo3cBUq3b3f4JqeY37TY2GveTcb5pG0kiO
AT+R4ApSn/756/0/3+bvfVYgVP/+FPc777+TpXUEFTlwf3/vfv/vj3/dwoIDBnd51t9HEhU3U9Uw
Nf0+YCotL3L/uRhYl0llaa3vf/K3l79/bBSh2AmEicuqCVhAck3j+eodlFEUv5YabpRPbl9Cwayr
bBvjuNc0I3Tp7IuerFTHIKPnFcXUrmblUUrAfCnDrSGLoCvZ/iWKuhUAEa0Xv1lNEFXbMrXroXmN
AgH8YHtsVPndMlpvytFRtiJlNAGyeEdQp1IPK4WWhSVgvgnVhTAsqLCb5SYHcgWdPopNr88kiYpx
r7o9zCOxRlaQ+Ia1UTRksmHykg4xQRANzqypRoMnPpZ3rU/Sw59WxyfFkhYcS3wD/LbPcCDYYuXk
/bSOJZKALHIMWVuSIRhnr0HAOoUqx8DmDYvKVmjghRfEA4VDSi5nHbFfic5hk7mqZDB2KcFl/hBN
dWd0eJS0WNipWf1URsKHqM8PuUZaYvA59Aq9oJx9MwOOJZ/nGtgRGhUcOIUmk4nRHo0OdIc+U9Tx
4QAiF12NZn5BagY/py7haSeoI9kB0H1lFiHYIwgQ65UqBZ1i6IVjmJ4G3/ie2hHqWCn/QUlyFAPj
NUiQsMrd7I3JlyTtgiH9wjuDIy8nZKwJG/Sr3U+Ym5+0kfN9Jyo9wQdzSPpmRNDfZq6QJmoa2+lW
Rqbb5i/GFNMrl8ACTzvEJNsso88y+4cxkq8gQ7HnynY01Kij8t2U0BGqCe7DJZERql4POmsxhnu/
RtWoyk+d5fXmow6CBWYrIaTa7OFy3wfUPFvtncP02SD6ww90luT4U2W1lY4WLiOJDDl1NQA7QPqS
73HOfpdxR/Km6NNswFwiMseTJdNxxCbdOLQG3Ceh1mCpz2Q8txIYBqSztlUpcNbHhyoo1a85oV3k
a1e41a9ZWVMHtTqqqQo0iz7/lgKQXmEn7IemWI9qkQMvNbwxowymkZVpqkufmoVlHAvTNqziP0W2
UmVDXAfZ8FSazK5Ti2sq75sRG1t8GNEDYdQe141QlzY0w/KE7f5tLgnDqGRTWPcK+8lMfh47qdg2
2fwObo0hRZbQyjT1GhkAdIBseGOvT/eJYJAU5WVEQqWlqN+cSY4ktc/+YH60k3726UrPBlKNWRyf
xrHf92nk1Do5WWafBWtJPE5GcDPCfJdJCmFtFuUPZZCv43OdUdBJrV7exvQyS7klFiJSn5TOJGla
kz+qL1Gxfqok67dJweEaq55JdsIuKPnuUPHk1jQxefX+vtUgSgjVCEde20nwRGfRd1H4+ifEr3sr
br+lAd+tz+YhLfUn1OQ1QkzUt1MVHOde+9Bz5AtjwTqajticWZUD5YquxVT8iYG7Tr7SnROxMMnM
PSF+PktVwvqjBm6oBv6PrwzxYeheNYlhrlrMw6muO5JCdzucJBM1ukUkX/ZTA0lrcZbb4AYfar9h
kZGzIO9/1Ga+oXaO0DGwLYQxsWR7xntMUS9Rx+4ikwcy6FD00rGm2ZGaJG+Vz6mUYUrU5lMpCM8h
1yZHV3uNdItkIoGKTCRuzWCiV0n6TNfF77gwX/oQ+Zdct4EnCuyYo1DDnDAplIcwnPlLxm1DdqQp
kUMH11qZxFMWpqxUh+BSfPd1+cdv6fNoNCCznRLO4rpSI4KVDfDFsr/qdDCwck8clqHJy5KQjos/
RTvL7IjFoPupCZQ9BcaeTZ0Cc0MueQnT6l0rm6cqH04c89Ncy5uKBe3YxXRNBfElMCl6JdajDyIK
voQnlOUlUuH+CzkTQ23Mou1n0Y863pRiJBZS0TFHFOFFxmmJNDilIi+SQmMt2FUUpitB61F06SKp
DvBZxD79EgoTFsHc/qg65a0KekigJp/JQlVolfDTrOd4izR43Bs+W37G77Qi2KRMAJQyJk1Ge2u6
6KcFWneRyDio5wC1umpBrFxmQWQPhZuZfUR5sIMt3FSvyViSitjmZ+UCqmEWShQs2beWyfLqj67S
LqjCt7T91AHLr1RRHjCrYiCWwNch1N/J2YPg18QvV80JdfWiKqWgLhWY42W/Jl2WvFS/zZ6FsPvU
wCwS27G0upZanQo4IUtTknpzUmSn4SnS54bVqXVG9injycaiS9+zhAA6yI6QAvQfDbDRhUobOBHA
XlMxL1uKICba3rEsLkpO7wspLpACfyC8AANqpJrbuvBJvRjlBk219iLWmOx9Mees7VoKIXXyKM7y
VwH/r2i6HazbMaBYW2qsnlLEJYYEiiqedO2gxFTSW3afIRUx8DHQS3s/7be5ig1taFaKshO6g6H4
tJtE2gyBb6E1GdMN/Gz/GFBytDJEn4YyfVkp1SmxoWSUZZRoewr6iXnKusJfh31n8W7pk+T5OLHS
kSi0l/m1a0iE71WCIPSGEoAp70Qf7pwUjeM68uH81RJhwegEnaYrv6RE3/y/pex/YylTFFHW/idL
2eN3nn83zff3301l//5X/2Eqk/6h4xUXDVnCWoZ17BeMZYn/UCRNAX5l4nAx+fefYCxF/wfQKxFi
liyqkgiF89dUpv7DMhXdsiBqaibGMvX/YiqTRZk38Hcwlmpid9MlC2ubouNVW1xvfzeVGVOtCOGg
5dtQgog7L+q/Ow5kUJV224rPXYWXtlDkEtiFSL1LqOgcNcud90fu/wjZ1CMxWXgu959HIWz+9vD9
gft9GM2J7euWOh2ryzsrCdx4sRODgGbu/ee/bpoKqo7UotOu+/oGBSM9SzZwxqLXu9+6/wMAnd4E
s8rkCpVyvtOJpKZZmuuLig/uK+yY+81qeZXkTmaRFOaoQhNqV6+QxYaDsK3UBW7I1Q/tMXnW0hwF
VAZnQKNH1JKOqSSUjuCYSKKRwlwE52yPMtUUQ8/3EZpjO2uqaR1ZFWhLS3aTMPjAtgUUayyfakkh
5TMxvoSzoopk++nhaZLp6WDkcxN19jehQPMv69TGLcv03Ir9ZVBDQiSngUhiaITsGGpcLiirOzpT
YQ8hq6tjT5QDyhUqG8dgjPYtDU4Lkv1azMPXsiYucAwwkgNEo480H40gjfaC0j2MaeNFaqutyG2t
5tmVh6ck7NkKsXjrQPjYEG5dOVNfRD19bIYWrqlPjSwC8JPlxGRLWfbAGoGqlMEwrQql5prWzQyI
3otn7APUCF/zmaDhsqb35MfKehKtw9TDkpQyU9iIEw0lQhAWibYFGB8MLWum2Glb+iji/CSE16GN
39IR/FRExIGK4KbyaZ4nSi+5FuDeNS7OFU4pPMYmlbaOaAwZmndmSOpGjOBimdE58TtU7FKKgBdd
aiot0U6mRcM7NI8qBE2yZ6UfIUe6lkOn2FVpeVGSunqQk53W1wb9X1g4kFnI5zaQrUNmsYNJVte5
JAHDEuarAdLQDck3Eya4ZlFq7YOWLKIRvr7dKeObDGx7lRSR5I4S81Tu65/D8iz6dIRp+Zr7Vbsp
o56QXXMGDycTMQmE7n6hzLcmLTLm9PEi5iVSDC2AAxEtHclQ/Qpa8Bi9YiTr1OC08eNym0e57KGM
95qOCagl80MimqfOiGyAy7gU3Ed7xGjHcpVOCsYmYsapbYZ01fXETDbBElPYYvYQe9IBazJsKY+X
tT4eIgHcuP9gyckW0Os6N8kr02vtJkf9Z9pRKZ7m4qGlGELhcbSFTub6kVD6QKTehgBUJWSUkl9W
K0WQI8JpAX7XA9F8I7qIMWHLotG4BMusczRyHbRW3KUSoaO01CGO7XFhP9aikjsR/Hhx3lQEIkRy
VxF+mmkbvRAPUhuwzVMxRowRpUoybj45O9CxdkPkQPQjzywoqHNWE60Gy5YVtJacxesoql97rQv2
aspKjvAgiL22n+QocRdrTDsNrtR2kl0UBBdpMxJGWQ05sxKnETAyztYmVTByUXfxdJFSGifQQ4Fi
rZzwd6CiR0SvyM60vLEqL8i1UILFKxg020x9zCT9HTcZ62M30sQ1m4h3vQHzk0vhgOWvJ6bQHY6K
Ynx3GqnYuklZuIQ8gAZCLVBoNi8UWrKNofQEF1EabmcMOUIu7sH1Y8hEuFXSZlMp+E2ZbfUt7VnE
1LEILxpGGAstSJ8QRak6G4P0p5q2QVa//ht7Z7LctrJt23+5fdxAXTReR6xJVZZkyVIHIXvbSNRF
ov76OzK1z5GPY8eN9/qvgwAJEqxAIHOtOcfME93MdLIjJ5BD4fLXgIQPVay689WL1G15WMeJXmpA
1nFM+jTE6I0zd979YLp/FdT864Ribjrfz2Pa3y6Fi7et65KTjB7jOUqeZUCOVbOk83G1qlPHMWYO
ZNWtBaNTYSMGWdJkOYx0mpkYMznFYTuN5g8751ZpJu+JselAHW7mPGUORQ5GSXJFLB6WBKOJLThz
jqbP6C2gb1LsEtlwNAoHpQrxYZHrPzv4WDhMjOpqToDEUX8g4ZFCWEilYWNUcJiDiu7sOrUnv6d5
scQF+gdiZS7CphU1BVfetPi7cQp/ujOnl9FfiuMS8T9vTsMyEkfu0+6MuVKFXfnNc38ZJRh2i4H+
pi/SU1zTHK+bX2Fd2ec8Ho9GZw0QZ4unucSDPBtdd6jysdhmhfDvPbgHGVF4Mjfi02px3hz+atpk
Pcar8wzld9zOuUXuvJyqbV1F9o6jetzbnKYaoEeJMg8FD1koNp0RIz2x6FVNHm0MZt7TqVL43hIq
9vWafV8b3Ia5Q4JHjLjGt9/GsX1zOsy5rjWQxTfQUDJzQUhwVn2HSPYOI5zqU4lMYL4rxwaduxmd
M9HKixPdmQGlqIX0rRMzsdeuNqdTKAauMgIWeCkOnkdhw+0JwimclfxP/I6HrqBN47kMkpO1vDdg
IihfLCN1G1VcUMuTIBdqK/ruHM0XCXYYU5wfbzuRfVnmbNxINYkn1oIxCDgZ5k6Tsxyoo8zn2GtR
uXsU0vCpcwgzcXa6u0rQUq1z8dSWXItWe4oPhQnMPa84aUz5Ly8Zq105OQXxTvCUM3OwT/JldKER
jstNMzScaJblQLniBY6ABxxxIEA4UOOX6lcV+QauqK7bVUKlGXJRSeRyt+TrU+dLaBp+tlzjo6TI
01ImZ3r+gC8S8+PqXXKxXjhP36Z+k+w9p33ugEweFtMnXmEPFGM+GNJkjtRBZRlxOmO+JIq1kumB
6dqDYXjHyGsJfq7tvRq+nOuFzm1S0kowb4PKe+Sf880MiwV2ZjMfOoKuI8YzH4ucgUQus3AX2A+N
F24pUoJyE3Tm3NGjFCJqiUQAA0g71adScSJrtXCE/VZySd+aZBfMQxXsvJyT+poXX2C4ceSJ6A3m
EsqjHBZl4jmoBs2Zc53bogcsvSeTSJsrES+vYCSz3eSS9xAKD6yXWdo7YszeP9OwRiIpGGWW5YOZ
ZwQgU7lIMj85pdQP25AuSlATqxD9FYMY3lGeQbcRWelmnsLwivHEcTKM75zzJbGd7V3Sj94+Ublx
vuGilZ2Y/uVU6rZU4xaqxOQdukvGYYpy06bXmXnyC2xqMANGgVCsM70RC4o6f2dTjdFeOTzsamz3
+DYenIgQugn3BmqbES1BnOKWnhyG1rnz4GdesjX8gJBhl3g0U8SIB3lNaVbmuexrjBkG/7yD7013
WLeZNRbWMVfjWWrzT9QCqRJ26c2kEKEBHpPDLLNz4gtvP83ibsbufoYC2KFDgJogssI+1i15o8on
4kJjRakbwqjrV4xuj4t4VrEliFrGevPhIol6dYYVpyAqiXmGI4u4ft6KOSZvXmU6+jZhPmQhbDCg
MSaMbFiNffOUaVPRwkh6P8zGzRrlHlpye+K8hy9ejd2TBieauSAEsKhntp7R74C5iFPr428KkA74
rUUSaIzMFLxcuzVVJpOAWcmFYWjPQsEdS/QmMv6arQyWpUvxjT8JzCpqmk53BAz4DDiDiM8EPT2g
l0lSwRkWCsl54PZHnLow1nux7zv/W5hIWOZVAAwjQmPeFcl6JjvL3wX4taC5yMNa0CFXwNGAcVRf
ckgl1Vs7PtI0+DmB/NoIs76l5oDL0YaA1zpf5wQ7aJs/pa1hb0YMl+dBOrQdM/89So0VxZGIqULx
y5tL3G7TSWEQ+TtZSfG8RoPFGycQuIy+MQ4U+8jOEEP4KWZkk7zt8Sc0ImMHTC9OEC0tpvjVz8VF
JxQ2dATIqDglPfBSV00iXHBhgo7BpiAzZzPUsMzZTbCpIrp+HEaei0OjMhmDmU0TYJ3PvxgtDkQC
TXbkwrVHw4y6c1zUitU24g6p5HIqo4eOcvO5UYsp+VEE4YJ0eS33dls9O47loGtYreggUCmlhlMT
XSU6UlY8eXCYuLmTcPZB0bwyoqAKV3KyQQXS9y700obyRleu4RbW1teWk+3ed7aiWUAxp+3jOIni
UA/BeDGIc1zW0DotA0HPhXGWaf/O6OGZaljK30pevGjeRAMywxKgiEpltAGjULprCN8TnnseFu+Q
tkA9pTfMuyrAe9+UhX028jo4BfULvHxcKZzLP/7U7lR+sVu0QNEcARJWR6HdARv18VYf5iJACZDA
XA5GNFMth3uDkLs0jW6TDMU11jhOHT72PitCa52UM//uMKPs1fMVxT1FNZhz4RHw37YcyvTAzOom
jaf0vNxD4kTk3bO7wEme6iXx933WiwsgWv/UUys3qsw8Y8smulEEz0ngWJRAQcTPirjotRcfvv25
rTYVXHp07Q1wpGHJTiBo4dfJ6LkFLHyVWMAt9WEOFAs19SDzXeS/Bqn9RjGXOtfSXGc2lVjHUYlc
66VI6BxMHmzXZu2A8CEi6kyG1IGHJgVmY5tTGBPuW1lFUPFqHNZt+Kskg+GsF6YpGIHFnvNlKleO
UTV3dZP670XRDM9jLef9ZHh/39X6uHUdMaJ7VovYD9BQgOO4Nsm0VoP03epYX7iQSvo1CYzNnLuM
vn3HDx4Ri0WO5WxgjDVXr9+WVTueU98dzoWGDuc+GTGUJPzS7ffUgElXNdpx37+knIzO8Wq6wJFL
72Mtx82Z5C1na65D6Ek8iYKnMlMQXYAJsEga2z6ZhqNEsdpTbT+3bnsfVYk4mH4b0GtC/ddG0XlU
2z4X+r4iQ3ueGCgpIHTyzLqMz36WPVSWH+znpc7PTvrFdmFGJVW8/HApsxAJFiJhrHMuoBgab1uD
3Dbhm1yZI0Ld+xadV9VBGHU7slfpVX+bKGhybVCxoDW6EoInfjaov53XZqBWUOahwIbdCQ5mOgNM
xdozJajmYxGrq6QlGO1mYK7PeoFfEw0LahHK9SWnDcQXswIG64WxfmkdHPX6svZ5NxrKxuM/tCh8
uKkZ4lCJq95FWRIScrCkxENJUsqs2J4ua8BBla2cfFeO0WNS1qd1zacL2V9lvR+qjNCZuWiZqhf7
qBpPiUEitx0RITTThC0xcDiAVe71ojTM7+ZQP3p9AFc2sr62kTNw4QS40UW07LP0Uncos0abwIVO
2ueZQelBZpTujRbDEkfexqVNtnVyy4WyjS60yJ7zxUle5+qB9JBqUK7+qk7wOlnpuzsOSCkLT17i
NYb10QWPQKEdqPebRjT81avYu4+xr59obvzVdwaI1zE8p8AKN6271luFalbJNPhnGUU8od68eEES
AxhmYjDjdb109ttqEkmbR8NrJdGLkwdJAKrzIhvq6K4dk5TppPUlN1u+LHqsU4YeaAhJdPdc7yc+
XrggZXTExL3sZyc4iInpWSzq+QGk+Gmtqve4LK0fQJ3PFAVeFrt0HroCh4SXVS45o7Y4TyGZKlAe
bpu0/cuMQqhvK1PLGtAKtcJsvEx1dPJ6GwOF2eOULeFelCGhpGnz3ZoK59LczdAaH5iB2NuuJumT
pKmtKzgjAsdsTpnNzDdpLLKrkmHcYcjWzU1c9lMwHJjdbru2ao953HXXU0yKW+JmD970vswif7Nd
3AZmj6B6doim9t/DlyKxoluuingdew8QhGdgi43s06xca42oluueSOM9jEeYFYuMrkWNIDmTcA66
0tlGCcAn3HrnpvEw8zT5cgicX53ANuF72XRYGY4wAQmNXSHjp3pdGMWaDDCywJ1vWimXndOTHiXC
6XthpPLOq+SLqEN3Iyx1wVUxtENEEBtVS8aB6iKsncBLmpfHBMoJPUBrE0fAvSN1+s9Hfz2H3dDv
ayN70ncxFlrO9y0cdepaLJZlGAmxpO1Q2LTKBlWlHVX9tlcLuk7bSHr8+SK5dxbMsTVE601hmQSK
oITL1Zm7G6PpmDhgx5VVOlKLxe7umdWTt6dugTii6NrY/lf4e8neBiBx1gtTrYV+u4dLS063uuK0
4l6mNYgTtcnhSn+WTM+w8gjGCqU541S1JYNrnUysA4/1wp4lGl0OX9Mc0RT6RKBdQfRfznrQE0s+
tF4rrAyRamU965lOzbQGnoR1mGcUcfChjr5l/WW1oTg0aXkC6RsdDb+JiG6UZCWOFAwjyiqxZVNu
WSoC58Dx0vUtfEa50XDk41EUGQ78YaorPxacP4z72cKyONJ2J3+8na7gf/0cl9m6LG54CcMMVWO8
IkObhl1RP4gkOwtrIp+oyhAMxvmTvzq0ewOqx6kNJdaJVeo2dKes5bXG1rVYoHS2k3g3xj4i4gVf
MUcrkbswk1TbeyuwSNPyC1dxF/a7ZqqQOTjtJQnh0oQ45ikfTduoUaea5H5wgvtsdPPdAG2jaMkY
C7LgIU+yXxS18gO/dz7P+0aYKh4xpdvbjF/zrDwyZ0t2SwiwgLYGgmB+AiW6yXcpspddKK1l32Vf
i9T5OSzklJopsv8pQQttx3dDMh/yiIRwIeN+30XEY1Jc5PQ47gkB9jeBIrvxK+WWc4wM5MdUF8ed
48UzYnpAzJGFpxq0LmS0lC+bBGTaaRK6ce+kwx5TlzsRZemaPokIwfcqj9CMFdclzUVaGnz8aH3x
puCc5TvCG/K7NgK61PmWt22koB9XbxuKvJhITQY3uc+zAeNd1et6GRYL68WwPs4W3n4Gr/ROU6rX
Ep8DHOXm2s5LSptGZt3VWNdK4PamiWHQ4cvxLZdTuW/DB8HemORRe+NTKy2M7OeMdk9MUXs90w/Y
OF35lk6Rd7TLeMGGqezP660ljcvihOiieuORQv/jro3pvzTWt1FS9lXD2Gp6N5ldk29hygcwyN8S
RkUPks4pLZqM6nlfUnBmOJgWySMTgcy56ReAS0kqFKDM2LgxV7zV86DWlE++nSDUmXejBDw3qx+6
XVzMfRmiBMKsXN/+EbThug/65yoqfCC7wVdaP88oGSzcJ6DvCOu9mQJKIZEfo/MIm9s2IVlsmAyc
0RnMOBEHJyks+0jm6E2RcTWroPRuBnMfdvPLkKXkrlrLUxgWe8tfom3DOYurGqaj0dvOC3y13Jl7
ivlkLAyYHYWRxcfC8x9sm4ZAOgIlMAkLWi3/xqcUJyX6xwK1CwnmRNiXRfwlj28GciSuVqR4O5Ou
iRlP43bx3YrACCS40+TtDC/H5Gj1uBBp9ZRky2xt56cR9X8B+rq1qxpHs1EXDIxfE3EvoNlg0Buv
qBqis2R4QHAJ+ooYGXzo+dgnJAiw0gH7JqddAK4HqstKoAr4FKOPz6HRvXmd+2v+UdElBFpd3RiL
6V2XiXipsh/MVPHveqSQ9TlHN8Yb07eZsjX3S+qQ0hhRtcIWPZeyeZIYEoxgfWwJ6mG+hH8lcZE9
pW8QK/mnTX6MSepbBlGP8oCz7+UCgy+ndz4UaOpzf2s2WEHHiZKAC9iCS5djbSHlZ13LRyFYsLO/
1Vk2brPcwQdrf0+dqtkRtYhmca2fq5JSuTXgE0gtcemGrt7388xQmWpitVhPK+XwbtknMf+5ZnCf
4jRCKRCM12WdP+UuqQIo4qqtPzL4KaNwLzL0IHZavSfWfDU2yuUpunXj0DnZWO0DgejHiVGP7B0A
CRX26pQLlkt7KG1gUtdo4APjwSSL5lG49ku9RK8VPkSqbiIiOsLfS+Hf2nH6K8lcstynBM07WcRM
0DJ6RhVXI8EIKksQa8uwHPn3M/aAdXdWOsVqZ+fGaZioG0dLRkKYQ1ofejfMe1aUYHbBDlCkxndJ
UroXx9vGksk+S4nnCmbLJWDCTa+C8cD44wd/9q3oiE0mONOnrGAzuRYGWpY7THmjxT+tzb62zM9o
9Tc1AjaaFTKxnoOiR4y/hqc1bK6TyiMeZFYFvLzeunVHYCYQhakg2mO5kxgdwbH4G9MRpNV1Nyuz
O76I/LFtnF92tx7prPH+AwRXQY9aXEQDpvbiRjzleICG6UIwLB2g1udrIO6dAkvT3sQIJUFKvZk5
1hgj7V9oInib1rHvMoqDKKoM0gxBg7srEaoOfpyi6O9mIUhRGhGV5GUd7IF2ecQqNcSCgFncdx2A
sj6onN1cOXQG2xo0fPSjj2u+mbVRqL/1NKo/lKRGFCtxWdSp0GamAx469JzrhPQp9RJjGuNESDDB
z8xBl4Eov9wMdiGhdFMVDzum5RyF1WYogjeqmzjcQQwQkns1T6fAisyntA5oByk0uRokJs6PdOkv
+VKbJ84123XG/WLSI4oC0hb+Cg5WVaJgr1CoG5kqGSHpL6cMcSAgKjt7p8MG8rHHOkv13tuSwfZI
bgaohyB/GAlRuTJnGnYkgTjoo5dqBwEL6laVI5uU85Mb1OeyRP0Wtqg+ZkEHUjTmloBf5KmZ4KQa
hPUeG1/aQ0Whb3ROugDGTawYsIwrTYbr7VweGf1+awuPQ9OG59aO1k1Kg3Mqqnf3R+YVzq3djKC2
0IEiQnVPHuyMdQr8HZIEH9iOrHfeHPrAF+UvzjHBpjWDEM0KzsKE7sLMOeNgjVRexTrswjL6TsDA
JVhpBWdTR7UnvKWX6yMMo3SI3LUuwkM/ujDdqZqiBv7XIlDD4ExlOP1x3+fNj1wnpmOkb1bSwoaL
GLvqFRxJr6YkRlIi8VLE6VNMmkhZsokrGxxzpcn+7fFdbNP/BljU6Kfrx/y2+rE7tftaFRN8m7+H
DuQKkeNZq4WEV23UC/3cz5sfb+Lz9X7b9R8P/3i9ZYLwlVgrp+o4Qzes3qgOBEvUK0zIbxl7qTst
cpOO5YrLrEzsr+bqpIcgMSt0gP0PimLLceibHBZOWB8rRte7JvN/+AvIGbIy2pqrIbBvsYj6Ngg6
QjuqVyV7fxMFp2kBFRORn3c0yN6jPMQMJJoiRkN/rlZtKc9tyASnH4a3WE1VGD/9vchCH0WIvo3q
ILJ2epXQahzYelWaQXYulTJvdE91eflzu95fUFGx/tgLhCv52/59O/vXnvQzI5eUHDiXjJy5Bn/c
pd7M59v62Nfn7X96zD/d58K7PAWEjqkCuqeQSxOlRmy8i7PVN4U6TuW/t+o1fZ/eqm/qhd7B581/
eu4/7Qpp2MS4jd+iU80RGm3UlegbJHxaDnB1+x/vdJqOOcfn9lo9Kf18kr6tN/sts58hPE2qddAN
HNL0q1mNa+KSP1b1Jr3w0i0lMuP0+fQ/XkLfhAXp/P9sxp//Nyo02zGd/1WFdvtzfP/rP7jmfz/l
bwmaZbn/bTqOHzDdCFw0XmDFp5+y/z//xVmWGMR/gcyJaTSVsoyIxhCvjJKjyb9B5h6bPJ97EaTZ
oWf5/y+aM8tzg//UnJk+cWro3kh9dAB5B0re9rvmTPTuPFZd49wIRs3Z2Hk7XKsZU2/qV+RsUCgw
pmqTYWts4DQNK+EZufCuu5YmPOP2r3HdQn3xknlPAPyh6u1ux2irMdR4E8bdpu/wg9R2J+mkze8W
ga8inuRuGLhQTJjvV5McptHAsjZY2NDm4GvHxAuYd8zZyaruY1l7Bys8d3kib8YFyW5NbsfaYTCr
1jRDJAXTzBHU7bP+keyv9rrz3KfQSSyilpjfWp2ZAF0Yg11mjyezB+toKVkplRX53Cfdk+cMz11h
1i9ONO2dar6NwlieomGC2TFO8AoMZSp32ztBG51gEMJ7vcT6ERgRAJy4ilVSu3WJobMX5kDPPITY
gHpkG9lDeCHRhT5MVnyhh0ufAQ5IZZsvQxDsM2u9RF5xrOOkea1reZ+ayw0EXIHSArOSXU34hdB+
px2grtlcv+QT8GHAehwScteu5P5Mq/UQJSPB0uoZfkKvLfSjdWOHVUoPYEBTJBQ5XRKS089+seky
RENxfu+taXPo65IE8b01pQeLngsWNJcvu/k1DDguahOmWy8RXaXVfnWqeB+5f/nEkGxkGGMTc/zL
lEfxLYZa37qsi/TuJlNhe/I7t+0HlDbLvEXw/CuQ0yvYXJpY8NgS5pTbSBFPBroUWYbtsUNiQSxS
IWleuXuP6uiVV6EoCYIco2U9YoZBpVC4yHFrZojMovcVbRG7D8fzOJQZJPMEb3lvYqRdHTB3hnXf
dFN+4yxdxsg+uvGLxbwygtwhCT7yNuN4JmkmM9KbIh+7rfpuQI8aTz3TgsJiDgcadF9MI/+DkNSt
pGaagl66gFzbIuvx6v46eAxtWkaJxHfhD7+8boxvWqv+XoGiJ56vQvyRofsvQsGJu0Gv7irMV4iN
rspjAs6i+tSA2Mbx516N4+jcOhJJSJl0F8dpt/U6OS95E5IhFRzTzssvM6rGgqC7S+bgDqpi1Rl3
oXa4TLEifwKz2Doctj1A3rg0b20xy4OQdrkDWD/edPyKU4r9RaR0okcjn+nuOsXRxG3iTxjCY9nh
Va/GY0gc0RUqGG+3jDgPi7x6qdNMXod1XVFkeXJINHhth+qRaTF56via67FA6JBSDlznyzxOlMEt
g3KIYMA7pTHCHWtan30kXlde0hnvhpPeWJOcwG1EODwsziEh8hvLME6565i3XTpMh3g1gn2Yli92
UNZ4+XEVNTXyvCDISAyKhXNLyOg1s8gSbB8QbTRoDt2fZDVezcK66c1w+NkODcAmM75eQ9K4YGzi
UbVicZEm38Fiwxoxjb6+oe5lHkRcv9rk+1ySlozVaSZ6y5M5jriwdxAJ+jg7jbm4i6NcHv0gjRE5
uMWNU4DRGComU0knx63XG3RrpaT+N5Ka1/pCuUvQYBijanhZnnWgcksqXDnhjIjjZ1qt2dMALbNu
Q38z2qmr8lRCGt8KKg/9kM/ZLw7fBGBKqimq9pKV14ICy8eiyLKbyouZbahsd35ygzxWAP09iQLO
/BPMp/cIKN4l9rvfJap7O1Tz1vN6CK2m/7YYjXsIUaRw7q9h3sTdxrAiY8vUie6dWjhqMQjJePPz
tl6rHDWijEMa8h/bl4URp76tt3/e/HikvjPo1MhVb/ptVW+aqczs5Wzd613oh+j7/9jj4DDydnLc
vO8IS5szad4gWVfNUVXCwY9Vo2ZVqNt6TT9ILz6fkweKuqo3hxI97dXnps/nfN6nn603BEVBLWnw
4s0SFMNKjeHfL6tf8bd3YOj3pR/w8XJ6L7+tfjxWv8rHqhNlF/7uxeHzzX9s+Lyt9/HnK/12+4/P
qV99xoK6mYMO/ut/fin6pfHRPZJPWSHn/ff3qJ/28QE/P/ofu/7z4Xrzb59O7+Mf39nHM3/bvX4f
QYIM5rd32IBWZUxPHamzDb5pvX+9cP1WQg/645vXm/Sdeq2J3FNTeB1U2fk18TA0f24zZqgHqP7o
NTn4xfMeDGVnxx5ZuSRm1AnCj1BQyW7n5osmO2vkc9YUciXgQYGg9b2fm/rOLg5+TFddUYA/79dr
nuJF6z18bv3YCwlq7Ou3PapSXNbQPJ/bvL1M5i7TXuQxZPKgVw1lBE717SXF/yqqFHXY551VnCtr
3MvHQ/QG/bwY09l+Nqe7OE8jzgPK74u2pQaZv6yc+gUK5jC6aJI05Q9mNYopreHTzuBIRIJFtrXL
Myj+25TkksPnX7TRp4LGvsWtZ/OPrC/U97lc5fxmjIGrUwisRcrxZyB/ciZ3Ebwsb4WBpwiMBjqq
VS0W3cVSC1/lmv3Tzc/H6afxa6DvAUrSBMFwnOfmMkvQUa7SaJvzd+L1wIJ2klZWtArU2s70Gpf+
Yx1zmU99iTri3xhgzTLWN9uZKrPfV8eFMAWGOOewGPyzGRk+uryMTtQ8DJshwTOuF1KthbXCe5eI
Hgn4S/hiaPBpJZ+p1vTNpl8B4ob1CWeWuOjFRC7fJlm4mtejZVCC68LqIgsfBKD6SV1VV9CLYHWu
EEUGx1EJSbSaRC+G1PjVWKSiNnWD8yyKqTr4s3/fTTKlUbESEWPM7WZuwq1fxDCeZuWyW8lQdKOA
vBTDc+jbMUUfV4aOPaYqnKCWcw4CiX8qMTpVLzO3WuiF1KxkBE270B9bqGj+TceIhMsZP1U2P5QW
gRqiEYW9c3JcYQjI480k/PgE2cxbVotSgQDx6F4CF5VVYIUM/VQNJVN5Xnpt8rHtOSRkC3X/bI/g
6Wh67rTArUwGOL+mYZ/1WuQLBlm1d6NFXfo34MhGtJ4MdDUZAABxU0pKOh/jeepRJ7XFQ6jyx0zV
5Ax0XHIMwMhsYdzp97CoSlQOW52+oFrVt4u1YmjAME+DtRHqKR1PHJZHqjAr3VMn+Q2lHZX/4lwn
iwiJ4S3d28moUG94Ckat+7KezqY27QXIkog2VDf/5lB/wrT/uA+bW4HaLwE7pc6GUYCow0j2Hy1a
3a3VfdvfbvuBSKm7CnQwOgRN920/Po76snXzVn/kqKEcSowerkp1YOmPpw84krX5a378DmpLGJ9c
EZgnUyEcNCdcr30u9H19bti7KXS+aVi3xnPrzrRBGya/CpVTSN+Jo4kObg/nTX9ofQjptc+F/g70
Ta4mDFcz96hp3FrHqUWievF5cynM10mpyKvFvO8J9VjBeSCV+Vh13Dm6GkPP3WjlopaLaeHYp3rs
82YtUao5SXzQ7Xjdnf9cLNpIpTr2iR3CUUF3Fk4ONLd8sn/2Jji0yon7s14IIZvdHPN7yZYwetet
DokcftEvhaqrQO36+xsVil2v6fs+b/bIHaXCU8S42A6DRyQr1ecrY3Xs7TIF3cUffLITiDDdZpMN
mCHxLHlYuObpz+fyl/ZqQpYm1Z6vJJPAKyuxCwDKuFMLFWFvA9nOlPfTtO/CGOWfrWLIU8SqsC5t
yKzCLC6zk12TNPQ0TXhYEfEXBMqgD9RvdsjDZCVrnhN6CLxaf4qPfwHBSGM1NqCXZY+hIkkuQwBZ
KFmMoz46egcx4CyKJ62j/fillaL282AIWic7u4/VTOe6Q6O8ndXcyC3eZ6t2zlEHajNQC4PJoNFi
9v+EbiR04M4FKL0E5Rath/CYmmI/iuF5aMiSwWMAwLQgaqkdlWjBtrzrdEDMvYopu/RuNRwC2Xxp
czSD7ooHj8GhgbsZr8fSDsO2M6GYGiFk7DGoKwK37PwozPRoNfLkZBA4h4oUCc0o0UQSV8NM9G0r
JkYpyrnURv4Qn6vKhCGMH2mDFVoiJ2asPatRdGA7zFQHYlto/FX2eIsgZ9wFMroPFTY+7Lon0AYO
014axgqVQntJzdVIRNKvM61QV1rzugSrmAT0CuGzQFGgX+n7JIxJHfbJ1V1OSKCFpaJse+u6IShp
BfrJfZ269q+ZmDed7J/EwDV0XZOvcVzE+6xP6ot0v6+ugZaTvheBHES+8YS5ykGptONXz5A24krI
YWSmZUDaVrnTb6wKM3kYcvu6juq7jrrAzlwDRuG/hGSnoh2/0ZVbyLTod3Ey2fsxVMRRlBgfmBl1
uqwMI6H/Z/50JabGsBuhXsPXidv0qPJD0dcVaqHXhgWBHeKcHnXo4MNVIKFrRjAgBA4iNOG7qgNK
/vEA/r2n3H8PRlClfTZ5VyPJNGOPGNRE5fLx2WD9BxsTAfsVfTe+PrUYy4oFRZZtMXCaWVb6mt1z
YvQrk21Kt2sAVi3w8+de+MVuyWOS4IJ0ucn6Ktw6DXDinquD/nZKHT/qpuDpV6OONpqRw2SzPOu1
MExRin7eGakthlwuKOnEQd9vq7OsXvtc6If5n8/Vt/Ve8xRrUWPxAyo9+G+P06um7eeAfP1fH8/V
95XZdEqRKW8q70dulgPUUnKip7pPUOe4BoCJ7LEq8/UmWq38Yeni9ZhND1kXGTvHhrTVBaqEZix7
JwZlmWAA8pboezKVz2tD42ItSL0Z5tG/aoh/4JBrEYv6DW3M6lCGRHY4hbvrBEKIroL72zoj4UHd
fJlA3fyIZ7leTU30hlYzxBtPTSkeWzSCcpjgZVCTNMx8Pk/jajystvhhZYc5dNw36YQmVMUpvgtE
0hHwZ2CHyNPlPejS65Xouq82ta8jJaZhb43e+JYbF70dRwqJ9GjmzmPcxY+tNXz1SdR+dwUCgbSM
A8QWjbwlfx6AISWXdzTwDxUiwOukIHWvkSkAmRV5g94oMWTOQ/4uI2jRw+qjtEuC6munIujUXvnW
ONRTz72J0nq686gLX+kNfWi8iswtHyd8fmfwFvmuXJrhCi3Wel+D9krnaH1trTkAT+sNx1ZG6/PU
iJP+EEs/GaQGpM41KWrWPbMf/hCM1+9Dv+M0vyDCi80u/oKQ2boMs1iorvFRVmoKa+Tn30qjWw8B
dBHSSgbxzYspOKq3OywQ9EXm25cpKMIvXh6mH2/XTURPVzR17sdksa4r4tE+drkE7hEIu/2MEAve
21JHBNn102spSAZXu0SWhy9VYu6XNGkfh3F+0/ebRerRd4vnO3spnZvV76eNq55g0VALC7MFKShg
msxdSafTT949QqHUD+y2HE5YC/zTOJnDU5qvD3qHU+OVME7C/pZcaP+2BgTx8QN6YfXVNoVkWpiT
0zUM+dnyMgQ66isx5SUS9vS2+mR257YTH20z8L6udnGt97qiQt3oQ2yI/fhOH3b6iW5r/qAabT+4
5kKuN+rRrX77FflF6DTr55Reu4USb7+0jXsSQR19yRIKrNHiVD+qwT27mbBf5nBt90yUkzPykPlL
gsr64xFDUp0838i+GamLBXnp2nPDCemLNFCNJ2ZZ/0hn9xB76fJtSKtoJ5x2ZahGddSq/WPkcKDp
VyrJRpndQrwy2rJ3pIGFZyuK5f3Sh5Q21X4QDtBYNsbXwqMSZgReyfihEvfYDtONfgSK4W1ijvGr
jALo5k05XZgYWHeUiUvyv/g8nYoVrZf+DYMvP3dsc6EPy/bOjJEj6n34MNXK3gvf/oe9M1luHOmy
9Ku01bpRBjgGh5dZbUhwFKkpJIWkDUwKRWCeZzx9f6CyKjOVv2V27WsjS6UYFAgB8Ov3nvOduZLA
ZUsjPuUFfeg0nPvPVyxZjf08N29uY5sY+Kz2lE2Rfm37DQOF5beMPANU7L6lhTt6+aiZp8YJy2vZ
1PbnW6h+7zQmjoHlBXqJ8062uHywdUPgrjs0OMsHlmTlxZN87zsnY02XzTlx25lLEGnVgEPsR/rb
ARVGCMVngHJjDcU55Xd5ST0Y7/Q1P4+nQobcaVp4jYTCh+zdwr03rfQ9064uv8nAF4hzoGivy77W
T50f6sBJUvHWW98vL2gmQPEQNcgqM/AIWE3mIH9v9eui48/T97SptbL+oCSnFTm0+r0MwpK1bW4Y
XOf9/ewiHukNp/poUrWQwa23yswAEAMru664Pq9yjnHTx5H2RNDk/ee7qfBb6Rb2k6+l2iJKSK6k
oVnXXEyKa93131z+WJeXJiZSi6yLqnuEDP2+SPx0bxaFfV84DDQuL8mLEX6mqN8sOcQeaWP1NRiH
4QplvwlAhmBvPa1uLy/l7nno9Lp9orWSbFtuiWM1u+EN4maLyidv3s0QOOnyiU02tSunBQltAIva
Uzxpu9kx428yoCWdI7r9yLgqddVrr7GG7AwRptYE16EcLWQU7riJMm4va7auL6cHfsRTr9fRk9W0
1XYMRuOIJKq+GRtNXwurXCqj75dXzp1P2GJvGHej36v9MC2asR64VVd13wbJ1PrysilIN4Wlplct
Lhuv71r7POhBeCIXjRmZL8PnuUvOl8+iSvWs9535KEOt38652x4THUELqIhhDSso/WH058sJqtjJ
rYJ5ru8Q5yQHcikncD748qMeq8rlJb4TbF3GVWgFeFa7Qg1nKbTi5FsozeyoaZ+NDKPJcg7p1L1F
IWjCNhsKgDeQ1A1tLA5Ortw7Z85A7Jam9aPL6o1QtfaSdGDDhrZoTrlthNd2jEeYIrJ9z9w7/F82
91/KoqgkEIYMfVVZWeHWL/ruez1M58t7ha3+S4sDKMt9KnfN2I37DtMBly3mDo7a/tFHaj9OvvGs
7LnfzE4IpHHOg5usKXS6iBzP5cvl2y5Q2jXu0IFwAB5Nl3+2/PvLK8zg+L+Elv+f2TimKdf8O0LL
qeii5i+x35//6r8ILe6/u4YDBMUyXUs6tkMi+G/jccXgHD7Kgki5QFgWGsxv03LT/HdduEJXDgMq
qYRixP3btFzwhspydSUZcOvQwYz/0bRc5/f/EdBiGHiAhWkZtrRpXuKP/vOwPJrqoQMkQdCJ3Tde
FDYKAPD0UM3JluzLCEGSo2E2TtRuAvFrjzgoaK2QstV7ergYVxKxnSSIacqnk2vYpPNW55F0buBf
2SNq+WU6angEe5N5lLYNhjzX3UFtQAw0hofMYOdptQy2CzIERf2SWlVG6I7oUVlqeOpqEgfq7+4N
QmqU0sylVk1GkkLxnDrRvM1jswe4bgBd1NR6tKmNNV+eUK2yuM90vUvQi0nVgafu9J3Lwoqej4Oo
sjeqpW7vWPVDXTU4bgM+K+NYte4JKMScLnZBT1xDVbvMj7TuZyt7/dAF5Z7Qh2AjO3OVllT+BHST
JJOnb2XGGzDCp9M9ZZQ2CrrKWI1XhkuTEYm8cocbOKJ73eB2Hsng3UT9sI+d8aNxX0KjLmmGgSu0
0A2u3UKY+DJHdrpR7KwHwySpgw4inAGiggx2bXBFwGlpBAR3OIzcALdQ7FqvkEHNTzzTj/E/gp/F
bZFCqMj/T84Uv4jytvnPfzP+eoFYSK8tm6uEa878qqaIJzalRV+Wh9JUD3prIF1evqQuiEnbWebp
E5PsGWAcTnb27kRqz5H87WT+4e76F8fyBSbEtUovF8GKhdLelYb+BSYkNEOHopOUh0GrodyW+Qum
RKsmWKDDwJA9air/GVnpP52B5Rb4PDGHj//8N3v5tTidDTQrro0TwPyiJ5k7RB9oedMDIfQnvYLO
zIW9MLJCYhFa5CFLRHtE3wpeYllDEdfgJuz8Abov9/ehKuanvz8PArHMX46IrrZuONywCGd4cvxR
4RLrohmyvElpZHIiMHxa60a1YNqGdjcWBcpWED4rx0qdjRMnV0OezmSEJ5TBKKhH04FCOKif/Viq
tePQylcFab7LW6Gr34wmiLbGj7/9/UEvsqK/HLRtQaCkB2Q5mPz+fNABd0CUZzEHTbuZEPlp38bu
RAmhyVUdg/xjfxF55lC9OAadJKT95Pmg51xZisZ5LT4qZ8p3pmoJZtAKUgL8FXGyj6lvbqpRTCtI
LD7wu3Vaxe8tPjVEqE3CZrbCzqZN76prromN50SI6IPdRLtF+UAUQyjuaX6SRpOqh3/4xMuF8eXC
UdLmk0ogFZZhffnEYxKkYZbo0SFvgQ5qDFrrKoKFPTyG7ixO4Lc2KkdapAsrZpowk5+uLSb12cEr
NiD9Lk3ajBS7W+lUuNtrewsq0YtGjL1iVA99BfUw9q87hmQbp+QhoOBHEKPnv6nSQFfTVRCHEpg5
7JTfqmKc97UGk6QAkF75ch0F1sbq/X+6X77or7hfbLRcmKtBIvNVfrlfUqORE3TamGxa9VAgO+KU
zze1n75rnd/tql/5VNAHNLTN2EyNF6Bq3yDfbYJ5C/co8Ebnqm0CkH9ov67/4U/yr46N41t0Zq5r
WYtC7Y93To01x8SgHx+qaa/XiTzOafFcuDVLQkNoj4Z7ftbszWU5ED1+HQdjcx44cCJT0oMG9oHt
cpt34rWRIVBVDEpt4NxxWTZe11cuuROEWhtz/cu2dHeVi4dZTUebmDjXvq0Co0b5yhy0iOsMQXp2
i6/S8jQ2lKVRZscojl4jIr7Pf/+xjb8+wpBL4z0DAOko6ehfVnncV0MUOGUMfMkviHOOb8FxkvLs
AHGgF3KXV5g5cvT8rXmlfL6ZJ0TaRhXex5mFNyvCxv4Ph/RlXbGUzWEoSh9KGdvQrS+HZCHCM/qQ
GMfQxzKc6vONHjoWYCkiGYBPHULyO4BH6VcCVJ3Xyvo6kjR3msz4pyNZbsM/3KaXI7ENweXgSogq
6A//dE3EGbupWuM2bSOfaL+PBnbaIcMEDj0ZK4vgOQQ5NDjSZiNjQPeKgq1muyBQpoFAG7OVj6kL
TSakz7W1hb0pGGX8/dkyl+vyL8doOq5yWPl4mixn88fbfZQHy5r9fzsnbWqnGHmUNDa6KEMday1B
jlY8acJtXhFZzeybr2TEbKYM32WPYNkeBE2CiPAalG5JDHrVLT+gH8e4zbBq1GyQYze7FRoTBD8i
7JrdZr5x56wnKlt77LqwWheTaM4kXWN2qUG8y/Ifz/6XZWE5+wbMQYuVQQpH/3pH9jjgosXGcdAt
YliqtvVonBPR7hJP1jZghk0QU7kg6ac1KsqKhS/qm1N2tJtCWwk5HId8j/pF+4d7xv5SbSwHJqTF
CccERy0OCvFPp7wPMArNviSdLFa4qWB8NXERs9ZPD7Y+4FqLAWUsXTbXX2xMkQghzURia9XbUXQZ
RWjAwgYZx8N9qBHIGXlFaTLRF5Oxn1NMwGgzHDmkN3qfVVvZY3zuI9dYuZqzj9Koe4ApBYEOKd8b
Cr6DvRC50qn9GBOr3FgzrDjfIj2DAddQ2NldVxUhWcIRPMAi0daVCJkbF0N9Ct32w++z+Qq37XUu
EuOGYRYj8mRf2WX75s7xeRTQSti3t2G6V7ACMAmrnZbMsdcWxA74S2/e50Du/v6ylv/iIWBzMS+8
ScUy7nx5HFOu+gNDKY15YghiBX4sSvyQVjkfPGVKeGtm/Z2P3W+NqC7fVhUeHvz64DvAUxVMAHdN
ja1AJaN9kBaS+TCLbydX96a+KAG05j8LjEFbxwq++6lqaN8PqNtUbXuCMnOF8yAi3xTsl5/4cNb0
8oZ+lPVS+g8wDhp2TqfCTrENzeo5RhLvIRzAXpf7OPKI5jzOxDIUodBXmCLW1E7L84H+fUIOXDf8
GhrZesAsyF5COu2hndZXQ0V0KPfyWwi2iQEBTS6X/YJJ3FzQqGDfJiZGQ42krcCvw72JCsBwSQsp
HbSJQ6pe7UATd3kxIXwh8bZCk8xwhdkiPlS3tNX67/9Axpf1kpvAxVJu6uzcqFWdr38gXeW0PVLO
Ev6rbt3mDfDDXN+XI3GPk7GAi9pNMTCzA5FEITPmD06KpQu70F1oG4z9pDiTYwe5NrGWwW3Tbv7h
CL8UWZcjZB2n3hAuX79uCiJNcBFpDUnNSwFbDSB0/CDYgKM5zi6zkIHbDMIksZ5+MW/TmvonqIrX
KaJMlhNzm6JE6DJDWpEzG7B/ODr6BV+e266O8UiwdbCVq9wvF/hEy7axxpirrBbWLop0RDLd8JrG
Era9WOhu4zAtY9/pKs8ic23H9C+hK3wuemEVeH9/QObnjv7PS4kLRVbqymYrxaF9qUrTutREXwl/
P5opgjSzSe6zkbLLcA95n2vP/GhL4HrOoDxiEFf+VKko38zixYgXsplp1j9gPFCqhtl+oEt5ZRU/
KWe6K1+Ci4t8YBkh8xA/m5GeQinbwiXivu65K3pjxsqePgUd4pU+bDd9Mga3NQNE9EZVeeBPeY7H
5gMFUHx24qLcI6G79UXBfR70/lFyJoG6BJjQVG/unDp6rxl/nkYbdlhS1D0ie6pgm+wdM5a3HRXG
MVQcJ7LoqbHcH8TECHjkFkNhyxzVvsqZ5ae8VayKZovVALmaHtwrB9tjEbL4Z4G1EKez6FjG2KPN
Yh53Yd/84s/dkEvSm1sxuR+wt7DUpTUfCkB/6y7UFtr3CJLpoWaufVUEkeHJEH2scF842eHZzId7
X7f8rRzC2QvaBEwMG2gWOdc4OWVrb/w0GJ58yfisAcysciitpIcKWptlfbWM+rBTznfmiDtd0pKw
Z2IlswE4fLp0LpBioYIv0hc62OMVVO4QyTSOKLZNSNR66yXLLZtaL/ISJelOa855Ht3xigAfAo9Y
ffeqIyOqQEpAQJgf7sj9cJ5ngrQtsavpvxKCJ35BdBD3XRq/yRmo5SQnbec2FvFYzrKGOO7OGUzL
e+YheJ0ZGtzI2D6AfWW6MaOiaXNADPE48Jd0UZirWOxNPyth75FVXUoy0UeICMgWtPC2FFnlQZvf
Y0sgTtjoxK4V3NVz3mmH2UI3Ymo+8q4CVhHsY28q8+tmAIILpjOmh84cBhPKC/OMdB0HOZKoSGF+
HNwfoZWWW1BdyYkeELKSikyOLB4RJeRptnW6hCG5DY8BVZu79Xuu5TAv2oNTDx+D7NHTo1JGn1MS
rJwz/WuK8obmxdmyGwIkJdzCEbiGgkNuzVW1oqgi7nJG1l8xm2zYTG16PCwezP4rSzW0hYbG8epG
7oRVn/FZhGeIAcTHxMm2c3LUzAbykIBJ9soqs3HvRNadMPsWvORIndqNBFsXHelOI2PE1M+C45hV
t3O3/AqyHDAZ63c69NOwZ9vYis1n0V1jh4hVR3KOkQksF1JiDjV2bHHEoUhLMK3Y2QON+KSytqkR
JTDWWprjTvoJsn4r/e4bKMObBiJ60qvoFisucZUNy5fpPhV9Fd0ho0dAkaQGnXG9PytjMp5Mnxsy
FI+M+cYn0QhagWQ1kGBFKJwWAsYc+wAbh9PsEj/wTx2ZhE7pOlso5+xrx299PjlnaqAyznzADgRg
OKN1g7oxOOvZj14nIWyGQQDNUsEeWA46atSNAVlsHRYGugtJMorDLnmbmDNT0TCoPBUCvgVgWJlh
cC1Id84MlDKVcU4Yta+sGIdEbZFWosW5fdJzEsfKzliorf2DlYl9iIH91I+mtdE1lnKlh/u2ISc0
d/RTb4xn30ENIvJQv9PGzjOWD17U2YCvlUhbK+7GJ7dksOLH82NiiBP1o7YPMwYyruDgUL/738N2
ftLwXKww7Bjn2a0wtuj9AZAgyY7DbD6VMg4RcocEVSAKrFkNoxD0PLfVtmzs/OSYNYp9lFvfsTE7
nmnG+dUkoD8XECBfKt8CTJ84t0zWrR1b98WfTn/CsJp9lODUMQyBwX90fxQDoYt5QCqTFkOhp+lz
XweG+gbzkFbHFAvGE/FrmZLEQKXWUkpeTzLaUGiw9a/mZ6vm0VN1PVnMBq0J/2fW0zVg1/ghCqD0
FT6mg9lo/U0015zCTN31SYNbWAKxZ5vNDidHzKhGECiQJLgt98TuPGRE3N7oRdF6VkRsTNGa5S5h
GOTf8KdMD8jd3qUabbq9RnlIO55DvYZjhTbJs0Ehk9ltcxzCKDxneXoF3AxUX3Vnh9yDBTBzz1Q2
ALe06fEeNc0xHYhAvCSMD2+weJ/aQc+BMJfCg/RcbUsLeXOCe4zO+PXlXccG4oUeuf4mGXEtY5oL
t5bxao01zypI6eswJTVowl3W53p5nhtxMBFfeq1JCp1wsmMp1DG1uKD1fiQAzhhyaCpXcxzXd9Xk
ordF7zobvrFru/5bnTnxNg1MHCWqdraTEY/eXDj35VQbNyHtcNm5cDSFlR4HQAGryKz1g6EKfR8E
KO0gPG+0IaX8dhQmKSe9mqJy3dk0XRHKKQJJq+k8FPVjSpS4n5j9c9q9tRnNG3YsICjd5HoMSRmK
a/7AEQ72IbOdNT2oesvzYgCMSMhgm8c3sLFOueMQMRJmNeUaainftHibJGRVYxGEpmp+C39RRkJu
Vrjp9IqEQq3YDDnWGUJGc8OUe6sqfKLv0kMaiudZSeMUSqIWYZHqsq02RkYJaCrW6FIViLLMrt2r
PLkq3QcVsntQ0xJ82kAlZQTqwWu0yVEnt44tqNz0KFaRwXb1lQ5T0olqbeOHDGPzqTT30FSC1ZDI
BSLuPiaj+iBYKz8rKzwyT6Q1FIMr7dDJBIk/XWF1q3caRFLQt6S+xLbDPqZbF04w3qRWrnaK2Ies
/9W0OtF1jAlTi5ytBsI5kquw8tJkQibeJ8e6gYycjVgYJeACK1XFTjLDWTFNCbcu3AtSkofyoOL6
yY2G10H7PmbOSBCSQ4t4Wleuj6NmGXjwHCeECrhUpKgM7dp/JL2jNjzIxXLfmLxWBJZxwoGFbutb
1NFm5JZrWHQjxEmkTzDWmXfmUO6cpH3TIzTPrMTjlN1A9Cc0zgGCY9dgpECETm6OEAqLztQ4T9Cf
i03V+GTdwjGDVneEvh0y4V5Ya2BBodwHW/zm16bsGNNQO21rA0K7ZX+jpPZE5AynDuJhEGXuduoB
A+DwfCffMe/eSygF655mzNSYL4Ek3ntkTO9acL9pjax0rXvuYMKifDSMw5Bi7e5bAoNtMyeDYIKF
pPmUbSK5qvUy8rJZ7pJoLtf6HFc83nLy25POR/0a2XtTEDIsQb6MUEh6vffK7wP4LtZTZsVlytIc
BeJhmJ9Fh6cQHDYIFBM/qoFJDCtL1m6Gihgb1Le0b50PwyqfYBqEDNwa0uYB9Gou5YQPiYvs9E3q
6i8RtMsKQvMmrZtdHJEsSIcVX1xYrEMxnnQ1krcwaM8WNObImd7Y26OPqVx8dGy30/EAoZqwoSRJ
vS4H7YyE7TFkA0dZITe8btv3GuqWEI6aY15JJ2sgpSJJKahI+pyWXezsYpP4mKYi+ruO1RE48VWN
vzGa0XfHo3aT5Bs1ownUhmAlJSCjRFac9i6x11CpbwfQ/21PrHHcpoOXzEZIZq6OKy4mKTDYjXBC
JoSgIxunLpSndGkGqVK8RV15riYNGH1SnGot/SHy6UoFp4Wyw92IqtDQEXpRuV3jhm1Zrmsm6P57
4qb3jsy+lU69R+v42NJvIG6BJgeZQu3Kyq/rBF8KoI29CnjwKdoyKz/ldhmq+EfSCi8bcnoT3WPY
FtGKXqLhmT7S/UBTBycJDO8V/2R+l7lM4nkUYMQh0yleuoE6EU67ukReUk/havLt+swIkFuiIodq
mutXiiOW7N5G0xqqRyfSWTqhXVyU+r9LqV3ojGjxckqVRWj9KVtexNeXbz+/LBL3SC7hxxeDRTT4
/aYl8e/yVkResY5dXkjK3X+95vL9VOlQA9nGXb77fCGcErUFdkiq/PLvLm/x+28ZLoLpKvQJtdeW
wMUh3pUVsIUv7yzaUsxgnzji3952wlRIIx6X9fI/L8d5+a/Pf/n5oj+8S6DEN2ij6bYQfYRx6lNu
HukU8nGw/v2ffzm+P7zll9d8OXFfT83n+ywnEqnmo2poRk3BObDZrlstREQb988NU+E98qE30O3j
m0qx7PRBtxtxwK4JLJuPWg1AENcp2eN6MTEqJRQobgizDYx+uDVdCnyck88Z/PIwid6Qw5/TmjZo
U9pEoUMxsxLTq9vwaWhHmDVJ58KTIjIoAkO6wQX7PQhzdZZZ6lX6gGeyDXOWNnxgUYZBG4svzkmz
v9XnpKa00rJDDU+ugUB0Kpi9O7I8OW6W3ZrqMDokD+QmWzA2IOHGDX0URkL/1YQquI/193qAmC0S
tMN5TWq8r6xxCxUopz7XxvkNy9ddMoabANuuoZNr4mChruj2eQRJ5+jVxjNImOGQkt60qgeyxmvz
rsZD5tn+AgAeTy3o5jJK9X3Rz0BfppStlNt2O0fWhKs7Dz7XylmfyCqzY2KIrD7cudptR1aDx6f2
chPr5lBKBuQkp9qadh9sanZsa2CO/rrSpGTaxUlrfI3pZjdRqaa3qf4totXt1bP84fadWLemWpsN
ak5nODhcOispPlJqNkHGidOGRDbYZbWJZQqj1G/PCCcAxQkt2o15V59pTFD3IOAtMu06Gyt1o7mH
KhvO9DXedGPJBezIoCb2LWvYBxGJM61k+xibPr5flW2jmrNnqumlNNStzTRpV8PRQqCkwctCPUep
WJNZHEf0aJO70vRhhARK7kd/urVSHqhWGpAkAM7Iqa+H3E4PuY8Wtza/ix5bnQMG51jJpOBoaaeb
WKBrdtQ3bjGAKb/GVhydQI7YK4OrfjUWuEH8zCIjvSG7eZ4A/Up1EDxAt1E5+mtz0h8TkU1rd9ai
/QwsNcwrJjkL+jYBNm7Qe/CNwd2BYQAJRqyk29HyCJlkTir3ZB47iOdYA0Gl9cSFgze91IuO5pBx
N+HzSAWRVfZMBk1pRB8JvoltppvA1+NwN06DsTdax70OST8zeo4YncnsCWTgq6krb/lozTljmpAz
V4Zur9PQkD+hAZJOQXLYSkRQLmMb9XAXxhtkz3m5JOdpHWemqg5EX13lhKJ7bhWgqxs/LL2ByhTR
QmnHLAGlXGymwnnt+2q4quV7PH+rZ+IGkOzRwDeb8wSDtY/qzRyQ0mOJ+Q3PC9li0XCT5v5DElgf
TJEsUt3WIcnXia0dffRhqwqA3L6XrrYOLWyUZeAy0IVlDBVCLeyp4hkEPpe+GbnUzGQUBG11s3g0
ls7RiklzcvKNYhPWTAR0W7IQ14onV1VfCQtjZDy/uzqtM5KF8KtwK4ok3wKg+g5eM1uPKY0kxnQP
TZPcLeOBibweVm0I4WbUPJB8erLtd/hehCtN2m09o2sJYciBj85xxkw52Ap9bDdR0N/UaTOtU5ER
7KiXxr6q7Nccx8zWtYIAuiPuQol7fy0GJPdmiTAvCa8ImRx3nTl/6DERldn0TZTDLvrV+YGxHkcH
MgL2ekcav7gAh/UwptQQsfVkyAEovzR2fmtlG/J4JxIcca2087T3TcEFiBQlJA0OE5Pask2GETcZ
tOdEmm3Sd2qMsQ1A86YWCNoUdwyxNdjlQTGL+l7lcbHigfGU2ma2TaInpZvYLHFINLoPpyE2zoUc
d/0sjsJSdFGt/mBP0YMWYbZhphh4siJBzdWsbFd/2BH6ekTfi0xp9vJYADDPTLnpsv4hpm1hVvGv
THPvXPTdq9YH7jjPCLrvm6yqtmnVcI9M6R3hNOfJFvqGYYEpjY/WJAqmaZEEB9V3NRFEEQeoAboh
eyhJiNzFAOU9eCcItHxIteNcbgeppVtZzNQzJB7UFs0Eo904JEYg+WqKWxRrwVnTrwkDfipLwlpN
c3jzkU2sRGokgKEnRtdz8BQn1k9RTf62WVpP8+wc45ySokmFvDcB4UuykscBsn0lF0EyvIIaYF3M
82GQz1oN09aqRXHu2xZChv0kje6oV6+TrpPoIzAzQ5c8BI12q1dRtSP55ziD4cXiJ6u1L5mdhX7d
7bTcfbpgvis9e3Eo9KoWcrfoJCW8T7tsGJ2HeR72hm+CbuMOTeYK1Qvh10VEdE6oBvazICbsIh73
OuxBJ20hxHT+W2iFgN3Ntt93KVyFzn7taOBuVQsXdJI7mqLPPVGIV4kSP52R13YEPM8Fm8SI9HYY
yRX1N31hN+LKDJWNEUgQ/YUgr9xnAqIg+w03mvTt0DX5tpfH1genPsNH9ijzoVvSzouSCezwTOD6
UMBmqdp74dDTQA770HRbzdHMlcnTk61q1NFirw/pQlOvcViuIsgNx7ZoH0rFvt7tknHdlTbUU6fX
d5FFxc9SddQbEmHjCAiNVpNrHGOx0oiL3Ntt8MuX8wGhitxRivBYHphsz03NJqK1OmypDj1COlSD
5YOIL1g49XC6GiG5FkF/KEkOt0biUfSDg+XYy5MlAzmJHn0amdDzRhfy4ngrrOkhz3uawmY0bAud
bh6P74FgakDppIkHJpYgTKz9WOxrR7UbO8OPm/QEOS83qa78dMNvnPyY/CAVRPTbspXlBnuodRkn
NgbAZ2jUNJMgsckI7E2Gw8GjWVEzhlnljOlOVfAzj1IMILV0IeqU0Yae0H3c5e6uM4hblOM3DGj5
B33xtCJbGpkFbjIGtN+DJPjeWa1Dk6ChODIqrNCM0fPy4M82NVCdwmZU803a8tRxNHnFTfRhF4HL
XCQxQfTiGAJneK0NWYhDrOLR0ItnAlu27pGwGmvPbodGXVO+Zs04bkRByq2y4+tKOoc6Bm5EVT5s
G1K1D/BPtm68b8s+PmJAKRzPzXQi7UV8nkIY3JM+3Y8+6euJtmnIAnLiumc7E7JIvAr2CKtsE5UT
p8cgEaPQGAm1qsfB3JXrtLSeKjXcT0XzRGCT7VWh870rR7HV5pvO8smbEO2ZoJFiZWXtGQnflR6Y
t1pTcwYGuRra8Mbh9ie3xrmO7R6wMrZjz136nU3z3e/IMi0miUvEwqo0sjRW7Me4Roxx3RJ3azeI
1qSR90cjOBVj+8CcIF67mso8+v73s3Hb1iArLcLTkA8Ax7QIpuljDqcr4eJr9Ql9oLUBWkLJpeal
FK+ufb0Mz3Y23HdGT++zoB/J5N3QbsZWfcsaB9drFHfYg12a0nnkBJu4pJvy+T+7nvE6GS2oDwoG
S+kIxVWDnMtrzMdAMKPqQMWvmiYmwmQYJlajIvc6qwCpptjM751Qbi4BN5cvEjI/8jtKp7gdPr84
PoT2UJoAgzq9Ix6bLw12Z4JgzX2Tk3FQdN0zSj8yr3IpgMZhd2jb0vDaxS4/OI9tFDIn0NL5BXXu
JjE7SVyoAlaMb2gXmOjiLwC75ctnGMfyXyxXDlsHi2jtBbgHDsYeq/iYLAy6NoRQFy3/5bdLwrsx
BO2uMMCCLtS6gLbUcbh8wt+/N7tMehOYaNyT0uyu7C72Aa22Jp0fTOkXK/enq9sklQ+Bhxt8F0nq
b2gJTXHpHy6/M4cpys/++9dHdN+azFf7OHOGIy3rmByyfK6xmWnfrAXn3LwwaK6P4fLzy4vGEcXb
KDSUBabPA7ptNHeNfCNbObm9dpbomEDq5eZiJHZzggpqi25E3cOp0XCOr8yIoIsqJqIv4mLE6Ep+
X05ZwRWAafJiw09AMxzn64svP7N8Ps6s6LyUfnRQvpx2tIP2nz9c9u/8IRkUju+za5bMwBZIQHXh
Q7YZn4Rh993vZISYpcIbaVutLl7oi+s7AyKL2vc6djAptGULzKKhbwnAoD6Oy5dEa5DMMC5vwYjN
HrHcAjM01fagueIlsef24EbJHi23fZRJ8FY5Fa7GnOu3bbNtt1hNL1/oZ3tGB5GiG3AfTilmxHhx
pF5+ePmvi0G1dksmKS0xR3nH0DPUJhbxpbcm+/GpSUtGOdhejaWDI0Iyd7rHwlmiv+b2hTXuhScg
yeorBFCIaCAwUXgK5AIJtNNe/xVgWVsRD3eXuleJrz9ZKXF59DXo8upPM/vaFZLVWzGa3w1hPNl9
RAKDD0Mqc+79iCineSRIWXQHauKfRUDd/BrY3XOVMQ41QVoxRshvsJzcocB8aoCPIdd5JAOMTlT/
pveK321ULVSSd2lZb4gv70bo5LSiSM9Gs3TIIF1oNPnXLiaplRBgdc0WATulGYzshlHfYqrlqQTj
U04ncrjY1F18tv/9paEfxdChw8Y4tavLD1NZVTtwh8fLz35//eXbKF0uvstbXr7Xu1Zu6hGnzp/f
slf94uxe/ufldXNju1u9ss5FkjEVyrN8H0xEkTFqgLg6nK0UtUulomccPpFX023Kykl7lFQAK5mp
9tjXuudqeKR9FwIz3hMn1c8jIJI1c8E7rXFv/NpZIbIQcALIQh8ACfOYJequ9+8tc5mE2ZjWE8Ue
lkwe2+RHjctoo48qxsZtKb9xyxn6LyKj2puFppyPw8Yu6rPBw+PkSGJ+otRzk9CbVB/fmxlEgmqi
uMmLJD4SagE2JRuv7ZDbql56d0FK8qNWtu/wSutdgeSzArNFI0HstaJ6YNtPtGlLNpFt8bgDmi3Q
KHtZlJNN2hnfjLgiz7MLKLp91mKXGmNiud6ZzrVZ49ghme52nNMdBJ/2GPriUNuh9GxX1bv/R9l5
LUeOZGn6VdbmHj0QDmU22xehgyEYFMlM8gaWZDKhpTuE4+nnA6t6baouZmbNumnN7CCJCMDdz/nP
L7JgOiS0LJSKMK4TSOZ7kEh6fWX99okeITFWb2TOJClzsh8NAqQOIzQclmPcor+bFn5wfp3/tNJC
7WzP+5BFcPE9+aDa4uap+JdwSWUk8GYTx+eGo/wbmWB7M5fukXiH9WhS/Gq5R1pIlHSYfCu7ACuE
mkGdVepftQxeWtuJd+0yCJC1f2V1fEvDBL6BFatV6QS7QCXvmRx/sNvzFusjqZP0EknyLMLp5hNN
h9U507FpXpc560yR7TrU7cjMZe73UL4+jV/0WeMZu9Zny8M4HRIqUT6984ziRCHu1fhNqSJZe7H/
u6lJypPzJaoktLXOuWOOWaK09mUX4aI3PwmaldK1keaW3x1PfPhVFbN0mX0wV9P4kzFJYho7+VyP
E6ULlwpzv54hUj9EzT7tyhtQL1UuzbmTbEfDPvSyP1fTjLWxUbFFCPwLzPRmONab7yS3MR5uGWQA
t6ChHMkM2URRjAF32AJd5xvXwLOJ1KOZv517J7S197PD8CqHSWK7PX2yPT3HFkPgqkt+GTjYgC4g
tm4lxKT+MpXTq0B1vkqc8ZbX/kPngVUo99Ech+9JMfwgseJC7NEhA7N3syYkLLx8C3z4ZzNeFI7B
skB9SYgXKXbUk6hD4gevSD6otea1WyVHW+dnNnqTudIvT9bn3hs/MQf/7BnJs0H/JHZik0l38evv
b3NVEuqmpFojDzj7pX4vZfC7gWjeQCQIu46wF2XdHPkLDsw7Sr83+1n1hOTBKCa0uK0/SBLk008+
pyAHPIuQJcdTdk1K5zWfFyjAZmYhhxcd2hM9UQZZIIhZogqEwvFXENxfeS7JKjR9QPbauerYfFE4
JmwyeMLg8OauXX4PfBEix6w4YzKUn5yge7ICVA+SaSLQSbleVLEEX4wLDdCn1kMia6LVZ8gOs96e
z47vMKTnwnOJuyAauuesJZKnmitG/e0p6dWrKsyK0f/3NMiJseBYJc0SsG+IwlM32escV3BluPfJ
5LT4ctvAoPgSTXDILbwyNqM1XR3iO/FS5pb1+X7oWjTTDDZoru+T2MYV475ZZEOi/dYB8nqxe1Ya
7Mpf9izbxUogSo5mIlYeMymgNfGBBf4EBYQAowDpLX661L5ovAOZPeI9iPUH8/iG8UlfMwExgH5R
8rBb8QBmFgUsb+xgdMGBVbrwhI/ZKB96x/gZhcEjn7CmEuFsH246Zuspm62hSbogTc7o1X2fR3d1
7B5qG+RrtLdk6LwAMDm++Rvyc9WHTAgwGa9r/TSo+XszNpRjFi4CaXnuCgYgBrdncOE/WgBYVvoB
MSQvnAcSkXGSUOE7agK5ToeeuIXR2cnUhFHjDmTCpXJfOTUsVwmV5GcMl4682ehtxgNma3EdBasy
MW4uIYK5OUOoYV7ZO+9AE6fZRaIkouZDqem7ANdBi+rRZXw2PTS0jtTvfea7e0PJlyT1vjG1AETr
QZDTYvxUNf4zgxU8mGm879vXyIymNV3W1SyNCyanH0Eavkwxo1AmhRDitpFyZ4qG6sXoOG3rsPmI
kwwosIk4eLoW34/I2kmA/bUmvFcI+YNhkiAuKWgOSBWQeQ1kI8MjpXqYiK6xh1+4etWweeZb55lY
GCQl+miEY8FU/TaBRTlch4e4Iz9ggk2gs3ZHm/w8yw8jRXbU52Qy20qdMEvnIYLQvyvKp7KzEI61
kNrwLif7DZ/HrBx+6thPLyQlfI8rzBY9aYb3MWjqilnyu8VQgEibOUU0XJfHhL1EGAwiICaUGwOl
22Y2+DyzyJphgwKBzrZzrmdwVtPX7WZIzGu40OjNJrqLA/caTJ54avWTMxADl9XQKyzYeG6kMuYU
3pZ3Ce9ngZd63/uIKGpO7Sz5iEe0In1E/FEftweHRmzrEyK5KrDEXUUN9PXao79EOmwxfpa/c2s8
FCG0J2KN2F9tG7tTuIwk/0KtQgun7vCxF7spaNq1a4XPUVA0TyrLgVCEHDBIDdJt2JN27qo8PVWu
fmiZ551Dofyzl7b2Dm1JAlHMrQneCJtNbNkXkirf48Gf0RtX6jgxExtDvz33y5egTtV2sri9aPe8
O3vRneipONV4r+zNZibm3aFBzPMFWVpSHLuiD4ks0c+6KK0D+Nm9l8Ge+/oS9DPFbLkpWzfc566v
71LpwAkC1o8xP6W05hC1RF9CR5DgYxwl168vloa5Z4QwzcV8Cxjce6twXFSJkD5XlgrP2OHAFfEm
lIVZmRwGWL92W4vzxGG4biIi4kWNKn/qcaihVh2e/CMxPvNTsET/FqZrY+JU26tIMf0ayrF7VtZU
7lBFUCVmmb0PssVaVLnGg1N/Q/fs376+8WKifaxlhl/jGzcIdxQsAygFwobRnUs5X5M54Vz1qGYa
AlBWoeLj8exKnJOh+pSCnArH7rxzMaOssrr04DGhW3st7oZmAvnHj5xr6E/Q5noyLr0cWUQBErxG
mC9IZLbV3rZp91Q2e6tx6ASlpcFwvVT8NvJVSUtjyq9NMBcVXqdgPzqNfuK3bGysPTSH+n2etdZG
DFYNDW+YiHnx+J37iESqc6w54qSdQ2a0DXwS8slAmdfTMiTzcda9eYgG52iESIwSyomCHBucSUha
67xDFraPanYSgEBrlyw6S0R0DDFm40I0dr8JEmp3b8nFhR6jNiwzwZYaHYwpm3lIW2KE461qOZlS
yQ87Zrzz+Mj2jQcQbzTgilIqAisG2BeQBxBRijsMmQ3gOCyPZmIeCnGrh+xoAfxRQRkS9dJLQITQ
6kvQ2zciXZtkW40znd/oYGzjcIBuBdYmloj1EfnBJZ5a/5JkU7GfVXffzOI8y7La4d/5mg/Gr1CM
Ai4pwfbxQm+picWWJR8EfB1a1yg/FeQtMZiOSE6Z2GHm/l1ofZ2H6qmuhpyZJ9lOtYyDTUIN59Qc
mxWiltQ3ti5GHdug1GQpDeJ3Ho3dQYHmQXGarn4WnZb/zi6nb+aP66gN2+8JJDHGmgnx5acgsp8b
ner7YMS8Z2D/d5pgNenk1SBoq5bGarLiCCJLDsNLY5qWUqYIZmfkv7NVi1qQOBeAwehqZm7ci80Q
xO9FJiHUOnglp7qeL1n6UVRueGTsBoDqSckmpZu9qKBh4jZMZornXnJsHVZ+hyQ7DgHBuvwO4JX8
YSdTC9aMNVpkMiPzvqOSyW6Y//xoCXqykr4/VDEN2zxm5zCT5XYoxUlP/SKZDicExyMhUqo+xLkT
U82o5OBMdNY4oyOHLAlaI9vizvFwLB3MQj06BCtl4leUhwk1OIzridEqud7JrXcH4xgxk1ax1a6Z
6aNTSqyTzKZgUwcxBKxiKLclGOHyjJvb3gEaJsS3PWll7dqKA0NPwTHpm+5oIr7KyHzaesP8UFjF
LWlL70DcJ6k3BB9iwdCQKD7595yH38ypeWUJmcfEgOsZzF149K14BbnTuLft+sVmCrX3evVeZRke
l276CKt4UZtMZ52Ji9enAV0w9YWsxpeOvFpyCGGdMPOYPMBZLyb2oVbD2suYkMzzW4tZCrCie5Ym
8gHR0FHZmIKtmCJHSCmzO56vFCyvublYKk5tj/jHx7EyqMSxn6HSxA9VMwj04+4pICCLpDNipGb3
ewEjwnGHAIXJgKC7Eu8EJRi7Ksd7XTKR2KYTVtihev+Sxn99YmWlhm2e3uMMIiOJLHT+RlS1aYLa
NYF/kny0BIQTrF0LSsTCauJVTmUFwxz1JwwRcGBAikBkZxm6DwMh8+svCcWX2M8ciWz3eMDXkTv1
K99154MLo//aiMevV3Wqg6EZomnFpgCyd0UNMiQkdeEKEHLTo5RmGiKCHez90Qv3yDCoCrLgajkS
l5gWh2dRZRffZG7SehBH8sBah5DjLnUoHX4WewEMSb6kmWZsvMe6fKbXZ2Y2JwdmL6fcyik2UdPU
+XsyxubB8gCD5Wxtczd9rwQkVigtyR9ae2sghmZkgEuGFH7xrIAmhV3lzaraJ1t2h2RdLlYCCMAR
aULTM4SLZuHNafC2TqCNbmudr6gDFfcG8VzsvxaAcWs6zOdM8CsLp8Gtp42OhbNEmTvirkRohQtq
+Nx7cGbT4lm002JVj9QYzOQgmuHWO1RcePBiCR/Bloy6ZivDqF99vdLPaWi/ttTcbct1LKLXbIie
Y6XZ6ZghQV+j2+11sRlD47czDDistRVOTzMTmhwBdYc0BJ4VCXUG2JX9i/10kbDlN6sBi7NHApCs
gL+RE46dJFAhRrvepNlwTl3np2+xH+Vmd60TKmoTJ5d4yTBMmB9DZ2QtuPfGKLhJtvvY8pBoriqQ
xvNUoCnHROhV9fRiXsPUx0i52YLomYR44AVaS0wpN8snwzAyW3HfGUlMxpIsjEGfQXIZ5EKnLPBO
sxKMbzhP5tY/4tB+1NltsF2MUGgdMD9MlwwbYFpnMVNO3kl9wHt4+JHM3DtsAA2UmhVyaEgoJELm
Vzu7F5ZT7b1mIrU+zKxDh4BA9mralQlNboAz2iooRuOblyis1SxxaE3zOktPXrq2V5eamXvJzPTo
59V0XGpgrxjbW+GwaWI0+drHo7gNlJHmZHcI/oqtQYL6LVfLhGfeMGurNuM4ZYeq917xSi5OX1+M
oX9LEpyuMDB3CXFMz0bcm3gyaejVFk3IqZr978mIIQ+0EfuiJ/wZoxklOPsogamUrLNtPjauInOM
tL2T00cnyCjUQ9jYN7T4BNi3b2FBLFIrrYek5xFV2tiOHofk8lCZi6ND0osfBlGDm0wtnx/w2p2r
UaaJ6G4WgKC8y/MUHhn2hFhD081OhBdAcDKPKjj4hIHuAfm9FVwEBnetuSlGszvqHMXTF+3W6gci
fol/MHruHoXBsAopE8alU7M7O95KBjCqZvTHQoyPtZn+yAaYoLmPmoH6EdM1HK2mGEnZTMaCf5Ol
D9u0S3mWRuNaU8lAcaBoKrz8SSi3gobz+WXB5zkQsC269ZUPd4hrI2ij7lqC5bwX1QTkFpaUSzHs
nkq2Lx2V8bqd2IO+NiLglRpzBSfE4Y7jOCoMUs+d97lautHep/dP03vVsvp95hLM7ilu21U7pTS3
TnUsfab+IGv4XZb3pYllyRjp9mDiEkGlCF/EJp+KKTD1Xshu3Mvhu2UguI4oywS+MJT6jIxVs1ZF
d4fqBbbtwKH69Tl53g9jhJtGbDCBvSiGvi64mad5FVNtmWP8baYQ3FC6ctbjgUIoxipliL7DMZJh
nW19ao1XEmtyY9QCNVYPWSIYI4rWCSATVR2IAms1NV3kiVUGZsCGZVtsNTl0H6WGnqqHoUPSMDP1
j3XOGC9tkrvOT94X8b+SWH5VPE0QaSF7W8bG1ovsPBieYku9aB4rNEo4qfz5CJodQ+8MzXcs+mfy
b3N2rFyzP1a7rmqveag5H4MjCXs/UNHLTTUiRMMVgrKEF9XK3xP8TOsbdbgR5+aniYAdtCzYmB1b
fnTFCpg92RsvQNd67WMHQ7KXIsgBkgn8AInFYsgngNTFKh/p469GjEDQtyDMLfvVIHcDpAg4++zk
UtPw5bxcdJR8CESAKu3sPZT68gWpIyNxViVdPDQJIhG8TG8M4Z39Badka5935GjgcpGXt8bvLymb
zMoo35XVt8iIeTeNWW7nCvsvMR/KSCYbF/ic1A/u4x97Yj/eGVY+7sIxe8fLOVm3DmKZwtqk9uCc
CpILlTuG62JitQf6np4kubZMoVYluO33YUha1CJ1TIxbrL+XaA7NMVjgjP4zBdA5tJNr3oLa/Jym
pzis7TeAChjP1TyfU+FlB9eZcbBDrL4xAKhqbGTv6rY+pq7dX5xpOJYDzV9oCfsyUOOUBXHpQ62j
feiFrJMIh5QK+ibcfh7nBsuDVesX/MKx2OBh2DLfrd7dysLAgyBjZtDRc2f1HyrU32y7uuApcB1r
7ECibiBQhnPX7MQR7Jsmp7cY64Ezj8vT45otmxRVormYcU5hzjHLpuIUhsOSYsWJGOc9cn79Ap2z
J/Lvy37IOoF14G+bJH1PfIKW8/ahmsUPpZNfReEdkrFiV8vcngwUdw1pZuCW+k8t5bUzghA66YLs
F5S7YllELf7fQOwAezN5NwhZmvu4SdZIfXm8G8oOdLcKl2LAN5MdOSw6YrD8w9eBHdHbmvYJ0RwJ
RrFbbNCgr/rsNJzsLnhvzOCYixB1oH1MrBR5lmo+IhnwzPJwmb37PAXMyQWROdGmIh17RcYiCSCQ
eeeKwzcYeLQFgxQOv+zdQ0yNy1p4WNauncl5V3I5kxE8T4rtrjNJljEMde1NasV+KScmJ9qJFrVy
UN9HDYvBrFBLS6BuNxbXGh7e6uvKuwGVdubp+zYwsLoUBuN45G9UEc0cXu1FG6xnDgLHR76pQja5
BK3VhOdozuP/ZUT1tVziDDM/QYIp3GmwRe5vjAih77Ns7TZsSxHkeAQbL97yz6wHcj07Z4OwhN0B
fe2mxPijtsK11uJqtAWfgvA7NjAz+p2KucLsXlxNDdWK0jXYFANUIShDXdRyJwUTU30RY9Rvvv7W
8lrJBoc90qqOGzxzlnan8U17bTuspD69oIhaUHoOHcINcTp2SKu0gUMq7O4UwStMUHgoAjRNhddx
8whcpPEq3u3SwbQ4QD62+GRlaXUofBDFKF4Idh5vG7dHvdXlyQ3wp0qW3r405kteux9uQ6cSlZzP
CRC0nzThvjBMb0vl8zKQX2t0NHc8/YRlIhn4kuYGKmKAjk2vF07VNsrjVStpxcuCEsEPwo2P+RHD
HQQZxug8tbZLfCOPLKc46bcZwElg0AosxyYPR40mfd4j0TCo2lCf5ag2qvat5s5tszz8JhHWWKnx
kEoMlNKSqOZA9LSMOG9FnTD3VpvyRqV8EmP/opYuq+j8kxocEmMI58Tij3F5Mt4ytN0bAqTfR5tF
3y2m4uFMx5ZT1raoOBAgdYcYij8cS3LJ25mUwK/ncfzyR6oHwdX+/tq70dIBNFgw2Kf6MKhKUzdy
yybHeQraJrv6WnwW5Ts2ZtMPxqCm9s+o6CDik461Qcl8dLBfvWutLkf9TIqe62eEn3Zpfp+BPayL
rAGE8Xysi0qcRa06eGKcs65G8nT4FTuEwtCDUN9ZrKCjyIrtGE4ko+tkE3Y5JBwtGfGbKl0DHi4h
XBxAoxVdjJkdy/Y1yWBwolj8qDUGRittOB8GKW8W13jKfIhsJHwR3jrip6rvJYjXDG8pyKKXsLK6
Y4MsBx6Otx9iVINzg58GnhFWmuZITcmcUE7PGRtTACFuIO+bLPrd1KobtkeIWnRePFoOzJua7Rsh
zQCpz+6zi6SDXzuAeJVhVreJbvFxhsDZwyf5w9Ln3//iUCb/+R98/1EjS0tx1P3bt/98rkv+8x/L
z/y/1/z1J/55ST/odevf6r991f6zvv4sP+XfX/SX38xf//PqNj/Vz798s/3yFXzoPzv9+Cnp/L+u
Aqe15ZX/2//z//zvkvv49PFC+Pf/+hf+/MnlLfzff+MdY0X3s/q3P/91MTOz//ihf5kT2v8QFkWk
hcuJy/zNwWfsX+aE5j+wJ7JCwhwYkbnCwx3lX1F+wT+sIDRtDmrHM50vv5w/zQmF9Q8vdBdXAWH5
yLt99//LnHD5I//VPQH7RctxhON7mJwJYTp/c+ZpF5uutpAo/iLrSXVtfaEycu9qx93VY/g+WQzR
zR7jL7KK8VSyU2ymSDI+hbN1/fqO9JbgrizCBzQF4qFMyh+o0cbT13fuVFhQDeAJAo18iNL8rGz5
QNsIrFxB7p+tptjkVZTe2aO3ZTmWpziHxSpbCnwDgyuwetB5p63ax2kaXpuCKbDvDY+yk/G93cGl
QcXroJEw5Z2NVTtoaHnPZ32Typgeq4Va7WHHRB9hdnSxfUnXBgkVRzJ5L2zlQVLbl3YcP1guGlmt
0VGmrlT4g43JT5ybDuU0kO+XDNidTFb11EJ6RFsUoHKewJsUwpxV6DvigVEh4rTIuw2RbTyVmfvT
caX5MA2iO6WuwUW3H14dj09+KRiyZEVPqBeHWmvrNyLfm3W4hG77cPdg+GFBKOzppGxOaGSwHkwt
c3gqcUZENBaeA1y1V0WSl8doIAKR2wd3y3H8a6AHtbGY5ZERkCXnQAz3jXDXXaX00SJqDGffCbls
XH1q+EbnfpThUzAzvAfH2w8DVCCZZ+Z9bUfeBmVcyciQ6WzMSPmMHe6TB7iIZH6RdnpWdV9hOZL7
pXeelD5gCB6cRzndVYnjol4dAqimSXTNfKiScXdL7d8VaFtKPrjAGcYgH4h3dzSD2Lt5M7clceOH
YDTzS+ljLRyZ/qOL0572bHUVbTzR5oNWGKPrPtBkM+zMskuijLdCz3g+q7A9RRpidNG+xKWqmcrN
MP/N5nGEVrl2/RqkasiD05TDqbAn3z4CFMsDpiLbILNzOEamdYOnC+0dw6a9TybSSjv3kFPHP5xe
/7KV/sXs8W92JXhgsc4wJIUXZruu/fcFF2AuX0Td3MEgpPIbiMXeUEqcHTXVK5rPizShKLlO+qSS
2DoyoX2F6SY38KKhKMdl9D+Yu9iW/Td7l8WVy7QsX0C/QWPMTvBXFyYjBVkzEM6iKkvQEOVltnNB
gOkI4G7mJUX/QDq4bGW+DnrvrbRM4yFq3FM3WKs2dLrvddZ6gPvWVhVlcAOmIOoGh5i3UYxnj0yH
UpTjq899W5E6Ez+HH03o6o1AY3waeuKMLDcAvrJyj34F0TZoyoq0e2M9KH4CKzDSGL1NW4d6h+mp
3sReM2yI6uhWMSaNR6ehSRC+AbQB6//e19mFjMdDo7V/bAc606rBj0B4+DE4C0MZ7nnWxdNVgKrg
hfFuDLO7MSPD33tGcunEnD3HvTprK/ExLsbHIICLuM1zyzlisIXVjhVfsE/M13YTFRC+E3Upu+rJ
1sbbGMb6MehIMOrMFyid4lw7Es9VQ9zg0JEZaCE3zcZgF8L8VSjYn+Hx1XmFJ+mEJjweH6fGzg4J
JD8GhIXAcGc6WoaPu8r4u4wctW+z/psFNe4cpBbuKA6WRTJMrvCcWcbosE9xnJ2BcsKtU76WpYKB
hlRpi2xZbVRp/QwDiR1PNXt7nKq++94EuRZjFOgK7QYuUHE0FFbofqPAZFWyMUo5b/VcngSM2DVj
BoRuSNAfKr/fSrs6cknkL+m62wa53sLRBpJux+k8zRhBoCDAZBHr6kPmk01qDb+YDNTrNKuNNQPM
tWXFYmuXPhxFwz8n8MVOQ4d42JfylOTBRqLVPGJvUK571b36yBNIKwQIL2LPYwCwSNPUDMBv5OOm
6fml2bJGOtc4zCY1u4xowRNAkUFnO0VDlK6UDusTurkSAYpNHB9dSIFD9lZJr12JRIiTPetn3tM9
w4Yn4Q0U1CIdLtLysFNpaVf6yboWIuWSIBr7mBEdVELZmIUi3YGJpHvLfhla7a4Vq2Nt6sjf+Sgm
aD2ytV2H6pSYaPACJzy7kf+QYB26y0bmrfgU+qsWssg5dtP7jkxFqLrfMNMUxyLEFy1wop9o59N9
HMLoaSxAnZHpch49Gb2xZKv6Lbx+2tYyzB8XhwOPWrUKa3Tu0wBA63QEQffBsJ9ES5EunyWT48fA
ByOjyIX/YeiLjrNtJabqCIjSExTkPjlwme7nftdgKsTA0v4A5G7W08z7zNPo2RH+S+1W5coA8u0M
kW7brK7Puts0EMst2U63QgRyrfPq2mSdgXmoGSIbT19sq8KlCFYw7RGklyzT09ZPZpQtekD/0zW7
WlkEC8gScsuQVnthUwugrMT5B/v2ssIHTHJKtcxon0B5u0NrSGIpigdqErmtUFltQmScW62ncBtI
huGDfhdN3x2EE9+yDp8w1aLGTakyJ4Zp+1YUb+FCT/vaeVr0wokZ1FuaZHvtut0LeuxvsncZ4zdz
icTPEJtx+RxwVTiZmTFt8hqMrJht9AjPfv+jo+OH+XBTphEuIcb+Ku7h/E0OqGPogaN6NnxfMz3X
CdLPBMxzPzbiA42muDof5Wzjmk5EQN+OO+FavzEW4lmUmCfK5BeO2R7iJBYjNmm3BK21VWWQ1qAT
7Ps0WX/tcU0O2bITFBkSbVAzDYpJYEqmW2sstp8tLM/urR7H7PA1RZDpnrb1rSnrlpEqGtS5reAh
D7gR6cxYh9p1jtmycm2h77TtzVvCwOIVINPOLR/diMzR3pSkO0/uVY2Vv/takX+JqW+wvz900u/w
iuqv9Vw3D0MHBi/m7tzoRtNU6nbLweF1/M/P0g7kFQnjzgKexpOoueKQE9xCMyZrJNDduolHuRIj
6Obg9GdN/gHXtopmOnuv9d5AfHHqiJz80dPGSTRanoqYErZOk6MKAaj9Eh+81oCsbnkwVAqHGWiD
FKuY/XNbgzem9sbPQOuruLIv6CIFc0S4oDCiklMeZLCSZ5Nkl9Hd6d7/PY6sPxQBM8paxOVD5XzC
AcgO+RS0YAOTWHth7O/ckVdQlURwetwKJyngLaePf+VhXpEhlUK3qetXM8KvFm3IQ+3n6lSxmVy7
AvpHCgN/odpaZ7qHYyEw5VOoJCypwm0Vq2bHkPZaV1cscbMjqcIrpjx3yMWi7Sh0TViVEDvPKX4a
AHI74cGc7Gc/viF0vejUpCArPHkGqxqZxSkOo/sqmTTwB6xUjUgME3EaYaKdSQMsdb2treY6Mo68
BFjBrmU8/uwVM/lWsQgRndlbMCqN0aQ6e+xpu2AgQM7lE1ubA2ZWMsLRtQwSDggxIc50fN6bwWIU
RovZIBTntZGBzlTMvc9GNj4Ydepvvr4bId9DLmnSPUdNtVEcsU+FnRxcfA3xXBzSfQURfii/4CmY
pCbDu60VT8est6MHxmyuae6dIIi+A9UilhiwRFeTeQ/BaVzhDhcyfiPswye+bNBxv+00bcmAVRoh
YeKb7t4aJsVMA9hg02Wr7eOs2XozuvKQmJ6j1esfTjknZxtTxZ1orN0oITHGGWJfr+054jsogUny
iKfHZ06O+CnHevtZDtZdD1vjXFDSUrd0vyxgDMyPrWvjWM9cDoOtPP2cYlPdBs8FFkm4g5OH3iRu
v8nG8tCdKSDXKcJpFnbOZlhuO14v6XUep5d8ZPDHVmQyMolLN7yq1jjWur0XTv47NZHNJYnemzyr
ArHKw5Qk10HmHAaz9RFjTUMqTwv/hGBUFhmLcMOFTgQ/8+HqDGYTVkqPHF3C09a16sybybaL85+E
7T0ZBKaC+DK0K1/9Aslsm3oPc9JWj02Hn2EwoSCqy76l7gT1cMPpMcWEe2vhe3fFGThcYaCGcVbc
7ewwdr5J396GHang2MzcyqkDY/QW67q6rU5fX/rK/IVTFC83EhowsuROiUIgPjCZ7FE/aX7DGqjw
2EPfWZPvGrEP804OeMq7e3xRkRd48M/+aCC71J8fQV5T0Pd13nMuN+lcrlrIMpuUanBjVhEIa+cI
LGswDUtmxvMZMs/DEKn7osM6oBlxXvWbvIHwOwHLa08h7C4+o8gLMabAq37AZRpgPRFHyAPwHW21
CrHieP16Kss41rdhTM656d6DWjbQNuJyLSe32dnu9A5RCbqhwq6y7tBnjiGVdyN0s2v8Fok6Hmtj
mjFukm5zF6S1hSLBEz+5Mi5PNeMmpqbf9F5e7rNB26iVdbKbnfHOX7Z+wOlqG/cNTGs7P9bh6NGG
NuRMwigfG6c+1ZUzozpv1B515fKkz7iFle+RGcprxjPqe+xgwVGbebt1GGId5eA9AmgSt24UJ+w9
PqbeNu9El36KtH6nxRXIDFokVTZ9wxCgG2xanEqIfmfsMHq7EGX62wg1vdAunDfb9DnkWMr8u7fv
FP7XXtRjHYQp+Kol1n4b4/I0DNYZJ4J3S1PlxLgrOdq2tz0yXuLkxxnxWehAZIwWYqUI8GaitnLJ
9V3YjyOQuV1s2yR4iISPBm4Myz02FdHZfQvY2fAEsB4dgAjDAlYuoiremXVwLNy6fnHrdFrj6gn7
pfOd+2l6g0e0dR5q5QUHnLznfT3Z17Cj1CiNg2WIDrInjrXwwew1Z4Vz9+FbE5w6BoEbEbZwLD32
drufj6lJcU0yyytweveUK/tJBXrfk2sKL270zw4f1pYGHyMfZMvcmKrD1yDDeU6I39yV9K5tcmtT
1k5CNNoR01tUoj0Qry1lfcTt9aFvs5coJVLKHpS7RirFKsC+EZCBDQAO6HuUS+fs9pr4L+GfrDzT
V3UYqiq4FCMpknWCaYTZGfKMa/ilxkr9xIX9jKbZf3Aj2EP9DDxe2q55Mam5d3lLbR2LGx674SqV
2DK5LcvbKVNUkhf2eQ0KyvQfn4UrNQCZGO5IVoG81xZGX2jJNOnEPUnBbXEHB8VhMpARpFU19P8F
isSuOY1uCNU6nE5uK9yLRV7QH9UcYWs+mQPxpYh8c+d6dA5GB3igqN0hVznp3tcyPJuY/0Ittk5f
X+DudkLk91Fimdsuw4ilV6C4Pg5fXkVTm9njr9xmJUF8TAFQELy7ifE4Vn19GjuoBXKB3dJmAb5m
GA1f4E2IrxINhXU0aj3g+YNg8D8pO6/dyJVki34RASaTLl/LO0kl10YvhNolvfdffxfrAIMz6kE3
LgYQ6miArhKLzIyM2HvtwE/Q5ozEAUewMP7JBK4E4MA+Sk8oZ10S7xFuhX5RXajQ/IMkJytimvpE
fzJ/cLqMExoLwVrHYEIsfrfxxu5dBghWeFaS62iG9UZ2HB5LK9l52iofqmQILoHVCuxDYqQWRed6
ptRPzrnPZlcTzwiRZF70tMx80HliP2r9+Pvsxna5MvLsiQYoKImpE1urBf5aAHSuMm9n58FXWEsZ
ZJLlycpdtbG72EdAxjGi9yp8X7VlvAxJ/plKt9uj/0OemFXHgltyjXI62FYlykGBmW+rU2Z+hBJn
OMXntQYH+WSglkdFkGCQV0i1cyXOfgiOY1iaXsYo7/sRW3aXu3AFOx296DF3TnnLZzEI/3xhlZ4v
U6F/YL6OvGdGnN5zWNUsCSJ3j0u7f1177YLpnOJHlC/rCELk2VxCHhaZrD/FaM0EQ5lFWho5i9ge
1vXeiDLr2vnBc8+JfScdFRN20hnkmBTGMUn8xa5vvMQy2RWaGe5UW3fYL8Td7V5phThyGn4cqIWv
ZYmA/NaELC03Oc+0MjZ2YP0IXIhL1MmwMoL+YQ62k5kPV05fTB2T5gScDvbb4E/Uyx6RWXCZvawx
78LqdUb+eKnpBtzVBq4+jyqtIu/NLgxzJyplXyrCzH7Gc1hcIpw9a882W5p7FhtvncX7mtJr40SR
dy6coEaGf+wcpe96icPfy5ILk/txnfgJcs4OoZ32W4sKnj8JFghyzYJvqvGbl5yC4lCPSXtoaoIM
PdwyYRoAeSEba21bVXRvNDOQ7lwOd9KESWo2frXJ5yGzYdo16xkTHKFh/iWxIeilLOjstiZE2Vn8
zFGSM+ZNyUdGq46ZXxj7AI1PHqvsnI4tg1ZrwvaYtt759sMuEC7Pw/BMFrx3JvNPUlKO3eFWgPhG
fZo1GQNNQ6KXxNiznmdxLCxHr5vcBBrkFqwXBFxnsdjM8/CzVPnT6BHSnjMaZ0V9R/qAHoze+BY3
EyaPFlAg4dENTY+V3Uv/aDj0fsB1wFib8S/Y0qkOQXzfYWn7pFK8LaV5R9iwes2zOwvd8coRsb7P
ciHuHCPaIfT0DmwZSGgmVlBYZv51RsBKves/dji1Ea3MyYW085XjR/Jc1eVDHZLcNlbNF4ndtPbJ
+HIjSA/BqO2jY88n2yleAsJ4bwfJosk4N3bZl9anoXNTOhtZAf+tBQ2U8Oc3SzB04RbvDCN/FqFf
kz/xGaQRKlDXg7oY3RHVu/DqKHeyxeYWx+68nwvDxQjbhYe5OEW6USiXOLYumofSMPE/GP1jm4fR
naPzLyExB1Se6t1ZjnhZuk6XUhqVmsM1zpgoxFvcKIDdyvlEXroDEgUIA0eOyqLfFHDTLjBFjrw0
8xjVAOgImh2QBx4vu9Vne+G+kepU7TnHWTu/TDkBkl3XUSm/xkxoY4FT1S2k+aLBV62aEnddXRYm
djkuAKXbBPcGSY5rl58NZp9735o5CqV9vBNuTd0sP00ZRdiUpfc9XdCLApKgtLYuc8p4YZoie1um
jbybch8R/wAwVOU2hwoamXWCc7oRTXlB84vdqg4fwmk7JKQEcR3lkUpwvDY5D7pRlyg53HaTudOv
wXKru4aVqen8YifodDKaNPQmNAfnlDGhtv0sPtBLQrY4sBDWncdSCbqwq5ktGw5m6drv3TV2rQUr
JV/cgePMWHqwqDAvYgIAIKIJbFhZSK/8CftUTTKgk8T1IZr4cGizO/LzTvBDuAqaLiaVTnTaSmHq
49DLLz52o3tGzk+Ew9b08/QnJ3SQhVkKVCQ+K+RZLUzxJiB1ARLg0ixCzVMfRoQqUBCqcRXktLlW
NNuRkMYe+65LewkMVfbLAyNxIZFhkUkMO7eY1D/NlC6ovjD2eCpH6C5zn/ZwwqHsZbW1ntw8PmWf
3JBuuOYqrSTYhYvtFj9kHZ1ICex3oElaRrGGd3KqNtuIsDyo2eQ04AFzD3UQU2KJK6lV4cbNQNRQ
zezTJYGWiXO0d236O/Tfu21WhcgtyiHfGu5bMkAabQrWncHy8seeAbMunROVl73DStJvyTUY1rdW
UCxIlhgqPG7Fe9j2w5tqnZeClQNVsPkYB3dy6vNHc9abzsfmKZNKccwU5Vffwg3iESG2zVMRbfpe
U0zhPASTddQYP0gfbID0DcBnuE+/EFlsRHRBb517yX3t2VV1j+ziqQHPv1EzOVgtx1z0TNjN0M5/
6pUP9m/m7LBIcPt6MM7II+f1rSNBiA0n0phqy48xS+BlJaSA+ZfWn2MUWwcPPvPKt0c63nMJ5dJT
0aG3ZXDCdn3xWb7ocbnhc66Fj/dzSfEKUJS7sgufmwlV2DCoYuuIsjx7yw8n8u5SE6zCrWiB4vjo
YTPYKRRaZ4tbpxX+DC4rwKCvRRPzuf3qHAMsWXoCCPqIYDs6/KehrOyilh+5a3xyi8JbtXWo10IN
BGhWateFLNVtKx4RUYfkHPzyjVYecq9/k7r26WbYnJ4qb94OLcFKaaO9M23SazDY+WlMyurSWO7K
nEoyUWL3zTR0tS9IXKJ7MAaPzRB9Zv//VgDjAC5KucwZFrwHFeUhmZEF0LVJX9y5wvsbEwIc50v7
SFn7krnpqpR80NrrsTTN7fek4fBNVUQoZUw8hl1n4x7oJmxGQJWgyv1V1oqGfdzNtnaN5SwekQrM
ZobJ28+OLdpjOkUd81/SFNBaFc4rJRCQLcLshx6l/ZyawV3c1fRnrOjEvyzXnfLnl8an6I/hzMbK
6w+D4/nXNs7e6nLYhb5pvVTExPhgxj3tmdiKqwtJEjjnrQhOVAHa1B7ogsm5fXUd0NqyLml2iEGe
hVW8mj63s5IzE80OnIIe5y9phUZcOl9kkbhsqUPJuDZztmIRk2UTBQosyj0avQRgT7mO6WtK7Ecu
1oSnmSktWSP2Vbtc6jQ1x89DFfwKkpnjIF23i9+PO5Ol9EteWk8aCxND7TLE98TGwldk7KMyaq69
3VOiYERtEoErxegwO7cJ5lOq2jmCgZvCyNN56D+NWrlr1eMlmhO/3MUjkIw4RpHZTnrv9eDNRZom
67KRBuI9r6YZxyqpWipMN4/83RhU5deyg+WgIBttbv8veyZzURMnow2e2iiSTcHwcV0Sg3m2sXn6
cnroIPNecLjuK2e6Bl3YH7URoi4kGRtl2XDlOUQrx7yDsRj2G9/pXoPwvTKmdm2JwD4GPk0TzkT1
hhFWeWc7E31qRS0PVA2RZ9DEn53iB0E/MbM26MBxYA+sEVV41ksSThxn43kEGVIYlf/I8Y0mLCNA
7Drd1s1m+y532106BPGEPA8jm+2Z3gbYymUi4YaRzcTCNcPFq7FjPQzIyC+m+GUplIbLWDuBJn5S
SfcStFH97GP/d60r9hRGmywjmynyv/dpS/c7mn3sSbJ9Ht1KnWnmXI1p/jF0efuk5ZYGPvojuwIG
Q1Izp6L418hCtakr+Z5b5ourXYUmUiU78nvhsGF0q9aTRqXUjvLBbqIddnzwULF+QN34bFs9ud1s
uX0HeUtxm7uu8SPQjb0J0Z4yEuYoATcCrm9z13K25Vo2O2HgQoHUMDY8PqEpgOlBXENYQSFiJzs/
zxo8IUiu+kdye+Cz5jGfpM9+CFPA2aHcYZSC6xTkYu6PqJbNt9agNGf47gN9m3joyU5cQX5FKF3C
K+JAEqXlm1FGFo8MpYudYPh1FCjH6mJmSXAXhq4CCc8rrY0L1Fx1bN2xA1GZyv6AvuPLoP3XQdMl
IE2EkVgF/B1ho76/vbr9MObGPPWWcciBEN/rHIvk2IY/KikTE49OFd6XwXBsin5CoLL8rlt+NzR9
u29RdaGsxXTuuq7YDoVXmitJBXZ/+2EuHIYOPc4/vwtQKe/qlgmJR3TIPcy+GDc6bkGtsysoRBRp
//n97ZUwC5eaAPCG7+3MyKCd0pUg2x23uNjK54RWVD/ZyFliKwB51JDJujWAo8X9aO7497217jsC
jGkIb6pA9vRYEvNEZM+bNcHpEyKp1gh8DwR8x5RfebGx5qreCkXxa0bTvDV8AIOmFQzPCa3JC9Zn
jAvqiXBBNK12FMOZSdZBS7+PXvw148quDRbBxk/vo5wOmQzct4GTF8Ge0Wthlr/yIfokh/DAyf9E
P7llKAEsQle0ctpJ7msZ0X6v7bMYGa1kgEb8ooWWkTGeHn7k+VcUn++C4V+na3EYqr0lkPnDOkyF
w1iNzPNauxc10SzmbEfV5uJuDXP91DBHTRwPYa8CxzXTOVsRTNh4Cryti07DUAgrnRAuufmejwrP
5lsnvgHTKzhJ2adiABROsjRTmx6DuIqTe2nl/truXXOVdymBVTFp7BCsxGrs8aEV44NdC5Om9NcZ
0/zk4feaBa6Z0Pce4a0z4i3re2fudxxb4VggwqW3BnKNcbTCcxfg+u+WTnTodI8BLXEsCKBvMHjf
GweYjuFn6ZQeuhXqg5ii0Wht+nhtevGg5y0ahq8Lhs6c8oZlt9qyaaxpHeOFafg3zXQ5FTaHxMDe
mBff0h5YROzIYgNzEyBO4K5juOjKcDZSJNAip+uovgE/z1a6gEgxFQUeY0E8BvRg2jbkNwEgKMG5
b6wOIwHzPA458sc8BK/UeagZe+dZlXgI5ujHCHbVW56LGhNXHIURHiLv+7yYiYo0SfehPzylZXJf
ZMEjs+NqbbUWcOlkJO6pDs6W9HgKNIcz25/WyG+gdFTOi8+YSHktLZ5QDGsvdH6q5EfSeUxNG700
9BYLUAft2yEsPtNy2shgcQzlAJ+GptiaHfZ6L3se+go8eFedrXhCGZk3Necu+zm0ImslMNFvS/T3
7NE27bT6Mx61/egMpJcZ1U/HMw+U7TsrAf4xtMmRFZ5mfLiz8pxvIMeel83Vk1U71S6bnZ0fMEiS
hveIX5OJAhxz+r9kSvUaKGge/hCjvHZQHCs7yDfk07db02kRXkU/PZswsSbqNgwr/Z03xpsOG+Wm
DcyWTbLeW07+0NDgke7oMqUHoN4m5htDya9c16h8kCPi9dDlpipan3IezIbd4dEdlz2moI1Skn9F
Sg1VvcH3EyCJwKaPCctKmiMqTmC88A8x2DKEQR/NyQVTcT4c8Hmnu2GKr427nEkTR6zLSqkNHTQ2
HKsYAG419bNLqtKq6Qn5XbwpUcHc0Mbz0XTFZiYOPkvZDgddM6B3sYMRXrPRXnXRCG+31YyyHlj0
yiQ9oCJbFE3dNkLehDq8XBPz8AiI08bbmM7r2VBbL2KsM3XkqOo+Z1aW099SQt4zDs05ws7VanDL
CPSL+a1FNR6JitI+qVMGwma+NsofU1xIWEk07WdXiXUWvOLnOaQZvZRaAAJl4P7ciQqw2C4r7O+Z
xsmcTe8om94TVjQMlhW2VQQ1S84fHiHzrZpo+dDBwD0gP5FkFK68l6wTLYk3JEeBFvI8HGkZo9rA
pRFnTxlkV5jKS71pD057jGDpWjNFvOkPQEjKN7JEcBS2oc/laZ4nYDwrmaOkLAiJcSK+VNd0kQIn
Rw52n+M4+SbCoVg5LMZ5PW1VNIR701cv03iuZPDVYiXaEM8z7vzRfjJp18OK3HYLfNGOki/FXIGE
Lq3vZaE/dTx1sbJIU0hGCvVifstU9tPrm3JfFueg94+6rL9mbqc3s+wZNcwXCEC0TkNr4SCMG5gN
zq43+qtoMoAw2ImwgJjfsiBuNymGYg4f8G1y9wfqgDdd9CCcW/9XP6ufgcOGW6XGbqgJA/uXnvb6
T2bWf8nlfheneZ7kf0KRXyfVx0jbqoCSFONNgbiB9nvyP5du2a7RjKawTLTcWxKUXFcjrc8JCkgW
UGBi3CUc9CFc0Jm3iVNBLOmGIE+Mv324D9Ftlm972HLR9bqIfD1bfYiMtIM59EJmCSfglPJYN2g7
XBURFBTaW1r09PNTBYW+i5aOFggwP/R2c7TOXAazhqAuG0g/xIsvLm2HEtWanv5y9T6kGN8+4JL5
SN/KYin8GErah4XbkXkXnGyOeRrgAdVEHu6SOTL2FR98HTYgiMeAiePNvbNkbVqy+Esk7G8aYy6T
BxmE71HIJVr9vwWGkDKI7kB6eEJNw5BiTgDDupsic94Kl6ITYjNbYoiYpEjTv8gbPwSPcgF8U/l8
M76E5uV9jNauAHiXqIMJK1tG0g3jwjjCkO4MKiVQG78SQI8BhQz+sj9femv57v+VAbe8syDeUnDn
mq5Nxt+HP9rHSU26lcMIKqoekH2d8HdsVNCIAzjk/TQQciSa8SWf/V+FN9cb375Ot2ovw38WGNGv
bEyTBcFG/y3HWYnQActZ3d85TvFO5oxLu9n8mzxVfsgKXT62NJeUP0uiqbI+ylMn0tha8tvtk+xq
+ivGDHISBQHkMGuTSLu/kgfOpKA+INCzZ0JvArJgLghwaxSgPZSRhrOzVVx0wszdaPHtd8RQJ1b9
iG+qPXcgIDswXHtPGnvmxojI5x/Z4Hf7oYkZODCaWOHoIG/KCtHKeaSYgGVGPQHchNH0HYW3ePnz
N/X73ek7LgcyWFWexZDxwxdV5HZlcqXdU0ffGOuiYkuTWFf77ksjqQSjmgaw8OLPtZuYuz+/9++r
G+/tCdLyXGafSIL/+yZJAzziAafHk8A/lOMl3iHS7LYlVjJvaZv++d1+X658x1PCdxxXKZatD+/m
km9UoZZ0YYwaP4eifEXjTZQA3f1EZL/GMvj55/ezFuXwh2fAUbY0pY+0GMvCh0ubVFlF56NwTkkQ
eNsIIjQl8V40hIgAV6XZsYwIIkKz19p4Kst6iZ6T7LYgCQ63kVdVe/ZR6vLpJhrNSrxMuVyQ00CM
CsfeJSxYc6udB91U8Djp5P7lL/h9AfVdMgk9LpgtefXhkuUwFZcEYptcd4OUlYL2fdzUV9H5pL6R
cXUQwvgiGYS5imkugqpupTKQiOUiRxx8FCJlvm8CTMWpPSnGGe6db5SfrKjUL3P+GjjVvP/zR/4f
tzNpr4x2uezs9x+vubKGyJxLxzrRaqDB7zDtAFOTH1AAHkVQAKxYjA60wnVmnv/81uJ/rHncyZ4r
aUB7tvtxP/Ro3vLeGfi1xT1Q5TOIFB/lTl8nZyGZ5uMlne5Ei63JjltmXYumth7BgKDx6/9yt4vl
7vpw92GQYRm2TQc4lVw+7b8CnXszgmurXHFK3Yr1alEPzYvm58r9F+7n8pVTOQ8c9SGe/OIvT7b3
+6MNqt7DeWh7DGx+X1aYdfkmIXSn0jS/0hMsUY7I6Yvj78EbPM0RI2jpAMzLgmWEY2LUpc5nSBK6
b15kHXDBi2+1gK7cFc5DL0907teRqIlunFEzaDfudxGDy4fRFtc5pMSATHTSqhPnpK/gCsBL6yw4
5Nj0XdC+jNxKNLX3mhxLSZ9lhWHE2WXgo9HcumobFanaxHb21Mv20FUKYNb+tjSAQygx9CoXngaq
WTERSADAB+lXQ5muasFeJvK3mExPa/YbMg4ZFGKewxm4xjaHV9rT40XHlrsfxqpc6dK4kJoyvY2D
PBgxqiQjS55qg8KNovYCHHZmLqYYdjacqOIOhKnt9/4l99LnVifXrgmxrYfQ9v988/6PDVuZGKEs
xbbHAeK2mP3rdskjTo+TETgnEBP+eU6cPUqDb3HY+I99a559jQwjmdAMxIKDTIOpPY/zl24MnKM5
1wyXacFqwpdacDV7JQb6BGgZGZZA3Okq59WZ4W/hUPhbcPnHFG22bGWSvGxSHpPy7d/uxH99cJ32
yFaoAU83maiDxmQ2pl8dVuZvWVa/+cZ0wonq3SXzTO5YmDKTzrtrq2zsziXbKRKajPqLNSsyIZRF
pDe7EvVgPa4Zdspjogv6ivEnzbQKU3Hp7e0AF3NbMmtoGGsJ9UXGA/J6sAq4s1Mm+S4y9RO8xOut
smo591+yK44pFkY1WtvUAhEaMFs+25l8HA1mIWn9vSaF9rwZ04hJIUvmoaKDVw+T2hlvviwxpZDe
u0GHxd9HdS+5wg9ZMGarGjfYoWjReTnW8PXPd4X43a6jTPZoVhEheYitD1uYWTWYR322sJS4Vpo9
9yROV1vkbPiLFI5rTYQCjThGgklhF6e08gjTCBFFJKrU+zr5y+oufttSXcnVtwUWItY2++PnqaKG
wWU9zSe+3uHoNUgqCN8ZC7O+j2w6Ce1j0oLT8Ep0j6NZYn1FqZ57DN4ikJyXDrDDXyrd31d9PhKu
Jmm6rmK3/FhA+TN4Ik3z8GQRSozM1F3Ro2dgyLwhCQXtGQt5neea0x39/omwgnadmb11loL4ir98
Xb/V+8tnQWssTEI52LA/rPkZ7pyyIfL05GiBLxB3wrGBPBwxBlwNHV9aYFlIX5l7blrXIDC447MZ
A7SAJM2hGWVX5vpL1BMssYrTLofJKD7D+3j7ywf9fXdyKSiWQwnmJg4IH49mqQyj0S09CBO1heMe
Y/Yx0+YFdSzefMaOBxqwxCeg+X8IILEbal8VPNoqysKLEcHcwIQyeM5rqOv6WPdRBxLazy7pNNyF
uxGh71NZjdma5e6+VW35zApBbpiCklwM5dbqWIaLpFkyBhNidAr1Ncjbn0RZZftiAjlgmADjkOLm
CugbgnAntmkuLsLqsCKNovcdlIWkxkqU+nbjOUenkiORfZm3ba2qgY+lizORnnwAu93ZsEv2XQOy
uhdefqBZIJEHuWoHtT/adPFMUnuPjjuahxO9UUAKLvj4wnby8ygZC99+lO3U7vqpsPe3A0jBQA/1
q2wvM25J3CE5dOAJCUK/zaDGvIqJcj5O9GtmlV/ThiOujsAF2a044uD8ReAgDEU5k9aTQ9ALnXbt
dp16uC2iMU3D88JQmaruq1ngtjdh+aC0ukTCeGoscIiAAjaZZxNaVn5m4A8Ym/7aya2nw+0kHQX1
rzFHwR6rnqvBTkDGkBb3Io3Y48jSbWxn/EvN8fvN7whO+viNlSPN3w67UY5DBjVXAyxPclqr17ca
uhy2Ph7gHSmRzEWm///T7wgee9sDZsMD+7HebDW0on4M6xMk33YH5OYu7Xp1jo08PcY9+dazL/dt
Gy20Bv+SYeb5R6/gdK5/+fNDZX044NiU6R4IKdAknL3N356pHOuHqGrHZjRtvFSen194iNiCHRq2
yH5hX3MXuCHGfrubNotfY/a4E53CU0TtGLuwJpEz94e7KMq/UYjQOLaMdYnQcTQyaifFKH8OHyXj
v02BMpssmhpwdrMtxtH620rvi9/+HNZ46bqSv8WSnFGXvelfG7udMqmExR6fwrGKYMKHgqRTxzxl
TUxf+/bfWBbF6fYqWRI1gSkeBy+YT3GLE3p1e0kAKS9TP0t3kzQ+jWMyn24/Iqp4JO4jhWdNgPPy
e8coaB7SuiDGsp1P1pgwUGhJmEYIxxCkAhaaYKB46KZjXc0MU2JXniInNmDAluN/XhLyszU0jWec
4/IUh/60ddzmV6Ym4xSR787+3nTrOlsySbOxABYT9MiWUpkdbCc5xEbJXDuGipUi1w58smCyEdxH
u7ycMAsxkDgRCx2cbq9UE3GgNHOTn7iTKVal+Zg7LWaZOn4m5gm3dFDpA2fR9AAed2/5JjKbMXyu
oNJYrGIo5qqXjNRQpyL3g5HVvPfC1zDTzt6rsLMxS0AvbrigRerw5ebM/Md+hV4Qy53u1s6IH6hb
2MNlaldXI3oXLTEeMqvuZzukAK+jcSexaa3MptDQhgiLHtGSWAw3nmLRi5c87DYNWpYtiayMClIG
rOBk67PCE7RPWaXBRvs+2HC5ofdMzLQtdrfybBrKqx3rJc2MoPDUhjHZYhS7fUpm4Hc5s/djByxj
bXq589wmVrRRCXcDxxcm80iEYKwZ7cUABH2JET9xuCCcrLdsUNktvSYy5K9BUJkvsTYV6F5yzWwV
POP5h1HFM2QalWRfakpjE5IMitrPvtO5Th8qSFKrIkGBBRnJPd7sOmxbJMkuMHUDYs0qbXPs7RN2
edxaB+5BDf8oRLwqDbCBY815oeE4rRxd7JrmO97ZQysH8TLYYIaSSht4QGnJT4WTXVC5LGon5+Ik
KM80Pop9i8h1j3NLrKKW85OCurJJAvcFwZi1jVHX7IsMP2QCq6v1QaYoT3+iR/SA1Yo2FHQ6Pw3F
0SInSHPYR6M+W9s2qEm2H9aMPqCGii955nwCJvrFbzTCUpje6wlX/NHq6p3Re+TWaoGVTxdH18Ti
X4a4+ure+oxwlto5T+3tUNvRgVTIgTeNu3q88jFXrYs9/p8OpZkgO/TrJwK7NwNGsqebMXVaZLmk
IL5Y6LsYwtDLdCj9gO13D4VYIlSIT9/6A/KqniAllLDVvifhBF8vor0Ahe3V7pkwASmG6xG+m3p2
96oR6X4I0fdNZmqt8zgssLVyXMdlwP06W48zypgXUp+w45CQgTiJ/0yr7g4jj2C1NV10I3QXvG5A
1BLK8RrVVP2yj5tdFvnxoanMiyIL4ACgOmdejHlxxPC3tQ1gLGYQyCf0Arz9XD9PVuptTMfcxkaC
2csl5CZm5137CSPP4mhPbvkMmUGvAYB3DE8I/pQzE9YcbuShx3q7aXnyTSynCAjSg61hkdmDXrbe
SSO2NZFA1uGFZkkIE4ZVqDF5IHLZGbtaJvD7UI1segZYd64Ff9f3qJ8Gnw3fY0KtyKvaGjgLzsN+
Sn6WCVJRtH3lxQRNizIFw0mKsPKi8kdOKu2FVm+6pQGp1pUXEyRV2N46NQp99Huw6Qk0pRfq2nUB
l/SRignLimru8rYT90qSTZxUTxh3shVmKNYYgM3ppm8VDRV7HM78/eHJzUlFA5t2jYHSXFFQkROD
5aofiEh37NC/GroRxH2AHuI4u9aIMU8RPvilgTuc+sogQwI/sWZI1plfCnJBNPqBl8RSATvlNG3a
Uj8gIPafk+Q7GwMT1kb6pzbj1MNJstIWtk3EvPa+xWTRBz1CqKsaRfNCW17szGqShITn6WkkRjMb
T1MSeVhL2neCDQEfZ8D0dZl0G+KNg3NR+E+NOTpc0vew00eFT+aUKERwE+L3XcRYG3I/GFqn7rPX
LHntGjKecVudI9Tkh56oF6aM8dlw2OJq5QR4QEp0jZ5NWVmypDwZid6VJDp5olAPJHZ4u7E2632Q
xI92TquvLXnwizK3CWvDk9ahMD8SC2we9ZS9suWzUKFR5WqbNPpU02FIQt+2piaGIB2OPXSxMd7r
zl2Nuhhu09S4REVk+80ZOCin5U7tjarkaTadexXLX4l2N5MMmcdaTGlgwjrbJWc818y7Ec4W5ymj
XCbWy83tt6CarBU0BGtH8DB1c5o8oLrna4gJ92ogPTABHnB+GXudYhTALTbfM5Kk0WbOCjpUpkhq
jIFP4XjdB3OFV0KJhBTuO6sz5f2SjIIIVLkPQ034YYCsFW2SJbc+Pfv92NabwrP8CwK6bls4RbhD
ukWoQMOlb9NpV1TJeHRkhed8+acZCkO7XGgtSHd8Ho4RuDmGVY8l1GcNAngFpk7qbkQ8cbUd6TxX
LJWZ1+TXeSry/dC3w3quCZqo+wSLT9D56yowxZYrGcN+dPBSTs1iGYkubTSgyoPK+G6qT25yb0ed
99WFt9E4VYpfq7CXfIv+GZXa+qb9LYgA3Eyh8555LqrCOA2PymjJszXsuyy3p23d11eOlD+sqDr4
vZqPgmhRSikORuMP5By4D7Pm0fMAN5qkdR3szrtPE31v0eN+sJrp62SXwSbV6cVqTHWw6sxczxKp
rcaeuIZoSrSmM2y7aHYPIOwIqaB1SS+OUwcppWt3os3QNsDUM9M9ZgkY9KKyn29jma6VydE1apfP
nb9JEwVH27uXNq/O9iK2HjW6nTS5FLFdEy5LSmAbaIzWfWsjzBvGg+RdRFYOZzcv9pEOxcXp3fPs
pz+qNlb3AbIgSYNn3871tRplwp9BYlEBGvUUiWATzud8AuKIvgxJsV0aRybPQF7MWm0TLkcEpIFW
EASBKX4qlE8gHPYJMQn/UtUE6M3SAf02vN+c5S1wPb8ip6+em0vlt/7KURBkVNsSCsQwpC2lsep6
Et8rITYj0tbtGNEjKmhEb5nno2k1h2MSlyHJfOKxpDsSd99NZ1chRrDrQB0jNCWgH8sEgR6Ge5sQ
35VbYn0fFgsjDlF8wrVkUBd+Q1o8HspWXlG05pspJmU3cLvgxCEPnTzW6LWo/PoCyp3cG8t5jwIp
75y5WYxK8dEy0y/BCDqZeahYhRnmBQ+vT2TmLXG27rNKy3Vix6TSkjyKZo8TaFIOz7lszHNn6w1D
VBJDJjunWdwcBLZfi9L8id7eSzZZ5hkq216SkHNMI5K8Umyr28mT4T1ykt0wY28GUOJdRAefeiaC
/UT/UWwxZaQn2oIZB2bn6hrRJ5bx+jTQPHqY2Ywl8taj9EMWkDa572ZHQV2lCYyAMmIiiMCSsV/V
9G90/8pH9/EGONGJN15vdSii6V2qZHih3idWu0DSbVRtvTV48jdGTbBF5mk0hR0352xvgP11R0Qe
YI+JwHg01ACXXJt3UI0blPAOlCHHTfZ56D3Epl3vjSzFNDMjvINZgFClib55fTIfx6HDsaqypxqS
ZYTN4NnUdrmPZUMymh0jPnEGzOBRcFRjVT7lM6AEYbjLzqkPQcl7jX3yuZfNc5WNn1wxBE90i9BD
lYn10GOypj0EYGaKG8R8sMIPTcKpBW8T1rx+PkeNOT9YHeCBOhuMN5K+HnAidURR/grAhtdoq945
Dxub2movYDfXcUW2SNkm4lgnRIGaNvdGupiqcIA1Jc6j3m2Gi8QfenAr/xt0AAvn2Lkip5Hk0ik7
JUVVbm1HSYwb0J3+EQE3wAkQjzJOxVy0cquJlMMs/j/2zmy5cSTLtl+EMkyO4ZUgOIqUqDEiXmBS
SIF5cgwO4OvvgrLabna2WZfd91tpJQspM0QScPhwzt5rv7TCJBe1qW6osQGHJoRj98lw86zSfVc8
YP6CLWgoujWG3dYfG3B3ktnkmMYe9uNpyDCoR+uawVFrKpNTZv9wWo39YNUhSW66NQ0Rydqpa9Zs
6nJ+iFuinmx7iX44CWqbibSHOhsf4pF0M5F11tVdWJUl0u85TcyHyLLvfTHhAVFWcTfjpfbTwge3
h8cRed9laO1zo2Z5E13T3UbyZ8KxWch14fzwPW4VmvBASRguHcnd+8EF1zwpaVyzwfJfWX38UMzo
4TH67OYGIMGIPnYr3UFufTUfF41zHifsV9tX9lkrdQyWulntuTNvk6wEPTpm2yjTg8ZHHVrJMr6t
SJlGIo6f88kG0GRNT2UPtEDlBLkUGLspG3pPhfeThFIAKIb/BAccZWEP0YjHWgbdkrKsr+2CwcT2
xGjDvFhHtBErwC2d3YRZBSefwhmaKyjYJWDCjSdtEDUjyRd4jcN6YD9QtBaAiyJf9n6hoBsUBImw
1MzwIUwESE31h1KGH9JVAZwpid/RTKJvdANXRDQJa5ch0rtYtbVDzJOf1+yaY+/2dyaBa6eJJosn
5AO/DvFvRtTgnOfNvicNNpj0XtvLeSabMtKfKnoA55mC9Hd5a+mS39VID9fH+UoAeZTdYbFmajad
Z1rwz6qar1LD1WWzg5urLsPxKDCKdok81BKvp7HXCsKK+pVl1GXiNU3x4LRd0UHNxDi0Jm3cN+1I
blHs47MyvDMTCdnv6eTtTIpf23To3s1+sECSjQvdBJQ70EfXOawiZk9HvhwLTgYOxObCM680y6af
hcCCMu9KwLNsbafQiRTy9riBJW5X3VX1fX4y+uhU9kV99tr8I+5bbV/EE44OouHRHdMP+0Yk9ehn
Q2RbRJ3kkI8pQV1h4uwq0cmblbGRjDL5MSf+zFYbXZaXjiQLlHg/TfouTjoVWwAp/XmMe+tUpoKC
WS2GE9vh9E6U5yZa4svUJmqHCcDfSFolSMDBnDg0WUXCNaxQUQXULbCbTeo4uMC602i6xgguD5Np
/nHlLC6l7t3NHr6IzsaT0s6ZOiTIMre6Zv2yURyHDicKDk3jEoxcv4MrX5W3kjAtlvVBqcdvEBR7
I50H3yeEC8j2KhJBam5coxlcdZvIiyaG5xbVYtD1sgwbz4k4sKdDOMZGcaGEHKl6ulNiOnmcIU4N
CLABZV2I4jeHquXIs5uZ94byukfO5wzP1SBbptfRK09e7tv3+HLP9UBoF6Cs+IH6/XYkzCV041jf
9i6yyllL2jvZNmQOyfbeWJHMww5N+abRY3nfIUS3ca3B0+yu7iDO8Zhw58FD7CJR/1KS//DbeijI
VdgSC3+fYxXakkdSAWqiJp17/Ws7WM8jNmRsRjOwEzsg7wRMGAyigJn/o9QSPGiF2V4Ur3n0lXjV
av8Xe5VNa3sFJFafbS5FjX0hKww0RXZpO7K91lOmBH/6XWQqGsc6Vi7xVgat10Wwdulr1dIfi2tr
Jmx4h+Ipsr6I3+6xh5MY5S2EVLS1+eZF71AUP+IJz4ztqihMTHLaC4Nj/wRAN8RmaUCC7dfMmvIQ
447JF6tbUzaOXeInF5yDn/bARs6lMECQCRkpUY8jCME0bjXzObcoiRnG4HwugVP90hYrvtRJxWnH
M579gjTw2PlpjWK8N9PiKHW3OGdt+RhLDl62ZcN9iaabmm0NBZaWh33ueHBqG/DjvXnuhngOO2WJ
99FIBYFp4riiZ+85i96tPGCnm47oAcytluIx/t7B1cyuRkr3IkV1zEfyt4UDhNEdKzQlfbxfdPdP
YlCPwpWJ0XtAFqBmntUOxWricn6tFdOO31k/Osb6Jonn/mgt44SzSqtCX59DpomUdEl1NmdaoKPR
Xv8CQa4CMuBP0zaLdKI1LKoSU2YXW1dQeY9IkBjHAZ1xVWNnIcpJL7Mn31ntlR3CQdS+e6+1CVMo
2BeSV0JOTQqu242yC64x0gMjwMntgEVoWaYv1wHOR7gtjOVySlav4Dqhd59NlsoDLBGs5+Pyoe3h
8uD48a/KhGPuKFPB203G7Te+C6oA7KQJ2X5s9uSimmt0ySqapFGcnxyKl5tcAHQRMbnJrqQKy7HO
q5pubyu23X7BcYolyBnR81YYyzc9eWNmXFensc/fh95JL2zl2410LNYu9k3HpO5vqveto0VcC8h5
/btoSiVv/ZkuZ3K+gOxbohp3sRp/Klv2O9UXVZDnDrVP15UhyUwc9KbVotIrhDZJpx++V/yhhyRR
1yNc7Plna+ELY0xiQwVqNxWl+uF05jG1cT27+hUTrS6m5lhNtMxmgENAVwLgptMDEk+XDCA6pboM
p8G0jhGT7OA53XnR9dvi5cZVSQAhg9RwbCvFs8NB1FsPO0UffUgFNcGDe7/pWiAbnujqje6r7GSD
/goWz9kXazNRx5vHMUohp6/bPf0T69hgDyL/qEL/tGCsMqL2F/8O84s5hH2aGnedaq+mmpwjob8H
9Lbdg3+q7wOILQ7VoobqFE6XY5brJDUYhOGYTvfUFGb3WMjMPpZwtZdCKx/klfgym5iH+E569W/d
K7ywGe127yFOoFDhDTsqvsZzy1J1rOh61LJ+KAQsN5Xi5otYEDCYH5E0z49wlQ8O2PBVv5Fessei
9YizGYDjM308uM4MLkCRW2JmTNFLMjt37ETH+Z4a8taSMDwyaKc3NKs06Vo42sJRHU9jPt9buNww
DjfkPcHmvmkek61tdt4hAjIDzxtHI2dlQStiHbktVBisvsMe+CmALlHFNMI7O4AFD6OhUUlYTqa7
y42BdU0zKVf7qfNTzZ9egjtLayKOmOZUXHVZEtZY/RoERZO5eO5K03wxR0DP69IG1qM5m2L85Myf
EEKJh8RC/XvParW1yUm76wCV7Cxc20Ra4xdHRvkohQghMhtPNZPRnHgnwaZpl0z2R9PO6St6gx+e
0YRgfuWXoN4Z5y9e5Vl3w6AnF5sJ2UBTdmcOtA88yi0Hgli/VFonWBsKOlfWaL9G0U9ORM8lFaPH
moypbZrk9/1Q6HQyCF5ZkgSDqSKEmg39naoop2tZND/JRufx6WeBx7sdNlGkRNAu1KQSJ+5ueLxe
TbZAF6u500zCIo0KMO5pTvKBblD7mosB8nsu25/eakWIVDPdt22t35RR/cBP1zyQY/+nGqCRmSor
9rnS3LdlNldC3UKMyIz3I1cLuUIcvQ7d4JNVYmndNZ4eBihI9d4toq3lZoiCKbEFEEiYq5wVVCD6
Nr+TqKeJUCNKoJjN04JFBj8PMtkjSk4KXX6hk0dYPalseotqbdoR49zdRYY6W2tpxJnHkd02h7my
lvMVHd18NZnKttpEIpw/zGDBY/thnPnFG5u31raK3W7R04Qe2vEpwbJ5cEadh2P9dia070mHKU7g
0H1RJ/varY2XOFGha+rlT0l3ZV+AqdjJ2uhf3LY8svHfjg5u900Y4VVmPEKoARWpvRvN/FPB/3hN
fGzgnu8RJrYVRZ/flQsyMr8UR7eHPsUp3nP6c50QgOvz2jhAyC2nJZ3hdwBfNzjh/pF/vr4exs24
wf/OP6zXIVrLPdyqs7iaD95z8eZ8Ug02G/IDNsrC4A/JhbbRtmcHkW5J3cCiE/rMwtAB5gN4Y3mn
vPtUPaFjb2AVyy2q2b29DcNreP15xVm2efc2xHxspnAKiXA8tcf0IX0YX70f1h+wN+x6GwewIOWc
AI8o32aPLTh+QesjzMud9zHRrjrox+I8P6gH87n7KRGt4zPBE+XCfgooXEfdFieY1u8GtaeWj3sV
JQgOEv2azOUciCZ5ToZm1wFEwy1Fo3JovOYACHHcR9lgY8UnuSSzCBX3VHXFdldfvSH5qepy4kF1
QvrW1kfORmDDdlYDDZq7h7iq74p8VO91AwxgmLT6MiO5exgU4ehxtevUWLzxhwxlEnEfVZkWb1SS
AyGRIOQiafGW2/YbkbVUzDK2m1l1tjB8VLyJpzcZOhs8NvPuoVdbHJmnhxxwVfT04N5wU7aNcrai
m9vT95fWbtpTC+7zr2/JLKCO2OD6ycxMnlyobaeo7eTp+9vvP+UdQ2MoyzuDdtqJztedltwRzM7D
bE71yW+cmn45f/rHt5LuyGER4zbzrOpUly4kj4T8LTyp9Mt2U+E9fv+bJXIEGS+SCrFRVqcos+5c
GoS7738Z1WN1ase4Pq3vQClT+9vPm4qAWBsPDtz/8vT9Jc6ikoebL//3Z99/AmuzTvus2QWuZWN9
za5ivY6WqF2C77cu0oZzJT3dIDaIpQZ1d4q6uN7PBPt0Z70xh30N3o34pn//9o4Yvb9e5x8/y1oA
ToYkLIU+6ctStclOuiZGpi5J+y0LGkQora1OnHyqE4x6ODPZskfHSK6haZIjI2hUm4X+9y/fP4td
WVDSq8/aetW/v9CPpXaa+jlfJ2cCd6MhkbB0Zv1RpFC2ZF+f8vWFFO39v0SP/5/s/zw38PnfPwmR
36YcMMk8/jukH8WKjZLvfyH7v6cVavev77CBFev/77/xb6y/4/wLMj/MfssUjgenCZnev7H+rvGv
1T9hIOdw0JGKlfj/X1h/918YQWiMuLD9Pfw4CDr+C+tv/UsXrit0V8cvssZO/b9h/f+79NlG8+cj
g9GxHiMXNP6J9O7dTNd6iIuHgY3VZk18AsBMlNywMX8bJ/lreNaOGMGQdR1V/B+EtMY/NPO8uGc4
DGfD9/k0SJL+u2ylrgTSLJ2IDAuwk54i0D8X6lrWOxJb6VBMJA85X8Z/Mjf8x5ddnS1/U8sMdiTg
q/Gy8gd1lqS8H7R9OBQBjbKoO4tmxz7hb0Pi4S8p+d/Naf/QW/2PD7pKwP/2irT6ZLQ2hJAk0Oi6
GS7m1jBeS5vAvV//99eykVL986aiQV0dZ6aJ3Nf4HwLlrtCaLKYEirKa0NCEuBNUwffT2s63Kq8l
4CpPQqsmRgjQbE8vMc8ufonTM3HpHBMufnHLaqGbHlEqw/AQVDOZ66ptanprpdga3mrT7vRht7j6
W+SCd68zQ9/NJRwdUknXktPEjd9YCg1ftW43pVX2FEu5wnlLdSFT9xGIaDKAFME8BrFRq0BYTF0F
t8Tbjfxv25Ek2tc6jSLzcYhrm5MsDrRpjmn7ECwGZoSuU5qcolpuK1u+5dSDVuLMi+WRAKfN7tPE
/vDpMqSI/swmPSi16FB2dNAvpEoaBGQeHPnezRMjzyKZZYELUM0vAkI6erg+sAvq1c7oBobVXVzO
zmD6iS0Yjsrsf1s1WUkRpCAffC/eCbB87S8SBl/U3Gy7rqOqpd5mU7mB23NlkeK7AdybbY75fVAa
AT/IVSjSjMQNfQxoYmjfoYtcOGRhelYvUwfQFafLLxSz3BizDqpU282UqoKydmkFrR5bqz60+W+j
Mr8sjb+nLO6Emadbx+RXmXG+ImGh5lfLrTbqfaMKepQD1R0u20Fr5x+VdnLqvAzBoxMyT6eqBKFZ
pca0ev9DHPG/XAJjM0y87jB/5cv0kjjWlqM+kTrTC65V2GhRs4cPOsFuW74sq3yJm0+gEu+ggIrt
7AG49GmIBCu6Ls/K0FXNr4iSuOY6eKyBE1nO+CKa8ktXdZj2PSkf/J7Sml70WdzP9QNiyZLgadzT
gIDSRnhbj1wjz0keMTSzk8SQilye/6SuQ85+d0saVZyqCrUdNEBC5RqhXViEN5YdV81r6Ao5+p/O
5DMeJ6+mqlbbXxpiwb2BYoTkkRwl7wN2K4ONa/qnA+uzQX6GYhrlUw52KihByYAfkj8yy6amWHef
fo3iREvcKcR7eoJsYW+ocH3pRdpg1WDMmZDTfYzRhlE3QevxRlrbiZAgLWWgj3A29My8FL57aJ0W
3U3Le6alffMN+WgvDBMEInRmAbqPGthHS1/hMlpy7Dm+VaZBnGrL+Glzjh4J4uSainUa6c4myVvJ
kOEvjLTn1hvtr/2UNnrnzPDA74Ky2DPHR1wMZcp9s7LBkpZokEShVjVvM7FY38O3Mn2S79v6t5E5
FIa84haD8aVcDpaqt73HXK7l/oJPF6Gr3tRroccSmJpcpGvruJnm6jkv1XVeoXdW0f8yWgf6nUaH
om6IIXGBAWu+BNhp6ryASyaTGL4KDTznnOgHaFw7Ht+za7qo53TO+Y3lhGMuH9JqglA6dBev6V+0
SuJrHrh83yNPxwnMvFtBym2IzOMxLEBK7rMsClMZxTR8eExoPzJg9sQT7gDpJJsJ5GjQ2qQrjCQt
DmYT5nEM6akn0YqwJkHfS/8qjf6JI+s1NzE52jypxvrFEhaYXdCygy3h1znqZXS5xhTAcOrAQ3P9
4QYfOt4AM9p7Vdyulec5GF+jUQKXFcoFoVQ2oDXgKjN/BkZcLJSOyuM6nDzAPNvZZDKL+xQ8cPpS
WK+yNe2d7q2N6tKhtMWu2eGBTHLC5+uZSM2GDGWdO0+OIW51pvzv+8lpee6MVSnYXwYx5LT2kgGH
ER/Kbze6w4tksf3Vd0xU48wdKTwm/wlCkBk9esRabjJuqr2YX7LAF4zf5LBYzmNizXu8+S/9xA8J
FbildnqTo9qDg3vRzFzuZErV30/l99+fln5H5Mqbb6oXLKEv0l8jaqN7srebQE9BksXZ9IJsche7
6RM9upBJlSKOsr/MmveJdIw5RoKCSsVLCxknbjhbSOurzuYXUzAamctoFls3ZRc3Qy9vpd/+8Rei
ZlDQxeb6HNvc0WXicnVavkPnNmx0bz0dtiVJuu4MYZxjxtJdBp1LgX6jCQZCmhMu67RO7pPGHOR6
NZeVNiZSKXSIymk3KetPIOfpItFuBYsf06aT5hdJ6MydWfpc9PfjsG+X/nXOD9PI/ElfG+gumFSi
vGc4FPLXeknmliXGpFAGlROqaV7MQT4CSOQDGhod/Xag17oOeNH0vzDAnip8zHt/CTteM5gN1lFs
lXvomD9ZkeOgNFFNZNxwP5qjUO/Km2t3F5b2X4kV/5DYMDapa++/iygg6DaDC1jbT6O9PyUF9HQr
HGTxsRgO5Kt1ViPtvN4oIyfuQEJmKIiVp0+ZhpFSQa1UfvMUQncAe3TqmijDiNDdshn4U40hLPSk
szcScSebikcokTP1w/ImKx4Kc1IPdp1ch6i7tJXQNooyerGufAmyMdLWb7ZWDyGSoifW6DO3MAKh
UxPVZ8bkpr40k0srQwBnzLFXg1Ty//QxKgnJCpCUOkycClKQx0fok7TeJqIJtYUeusYTC/Wa8Gan
n198l/6+k+ohsyw2ZByLVDySGL4AXeLuLNXzAlpGd6mlmZAl8A8uW2/yfsjWpU6C+xJAzcZsXZwG
BiJWl0i1oI+7AiwIv4pF9bMTBCSU9gPAXYMFcLrL+T/u0YL0qP7QmAhAiRGgxVruCwpSGqUJYML9
cM6cllEKiYF4+rtFc4oNPBBwGKndEk3803EZym2NxIkA5F/KUNABc3BvlIBruQzH0UHOqmL/fpHT
LSGtgDnWfocGP25y4p2DUSENLooKBIvFh0LpyeUsnBLbXv48Ii/bwEmMCJMvPkCEDazIyHlczu8b
MLU6k7aE7m83Gdl/qyM9tk+dyTsaVX/MWqqzPvkDRHffBif6sGeIRDkhTVpP5zbRZq7GPB5SN6hj
0C4Ttu8NE9+jBpxCwj7dZuZKxWnEpqJs52Zs4PgoDeprNaMkX7wDXOw7sEj3lnIgeS75a6wx+YyT
qYUWOVANYdxi1A8ehYidg8WnQfQaTC7tIaeLpg2wZNpVi4Ag6Knfi9tUp4w2jzcijhmFF8z9+Oz1
g01Sp7ZldagZRDosMN07zRZrurQVkYvdJ7MdgqkRV6NFFjrwOwiFanjOjIF0GxG916sV5q83Adss
GKmz2vO9qS13/pT+Mko/3bZEBwe2VSiej4S9QV2T5ZfizqnTeJdp+psWR32Q4rFzrEk/LCvs09eb
NX07AXDUy33NIXSTJ/bzbKWPVuKWW5fonpM07WorQQWHlg+sxqjZ/jSjJffT5F1tlGQIFk6StTdr
iVVMM3KFhXucavcj8kjmoktgQgncGsv0Obo8VECtm0uaFUcmYDYFPSIfj5YElaCG7Buzhomfs0tq
u98djyaUkM+0ZEAkY/LbNul0zYtLmY9SCN0scLPseLcZ2JUQBHAups9FH41wqgrKlDSIgKnkPC1M
ua3mY5leUXPfI4qJgl46HggRXSCRZ1t/2oHXGQmIZCtG70hRWDQH9BOebVYHroS1niSQXhkzFpw4
Su8mLaKV8RkX3OzOqZENVtVFrAg/e2CkddOCi06kIY3xNsQ18pH3YxFOZcoJBHga5Ect9KFEbTjc
srMBZAxitLcoZxLX5sYdK71BD10z9Zd01anFZh7Se6LyiieQGjj6wnLcstk6Lp4cH8p0ZhoAVCXi
CAEmXalszSe2VP9nkizEaso/OBWNgWHCYm9am71wiQrKGgh/b2JWdGBdDGPKtRY6hbgWu0o3X4Vp
tkAs6cjL2EN0WV/dFFi5lZD8mn5nHif5Y6P3FdEu0XNeDwlWVVoAcmDbYpK7txsz5iPYzH6SMyuW
Y7athXWHiOQjqUgUbhdUBSb5R4VJfqdtX51afA4cWAN4fT4UaLMPPY5b0nY/y5jUN3vJT1KwtW1q
Mmpak/vq2J2/n5z26Ah6/Xifs4AQ07fCGR/dhnRao3a5LlFyjD3JKDCj/gZnezu6hgoTNyMyevgj
5BSFoqFbXs/Zi6UXyY68anVkj3oVEOpNgkyC1LPA25pje+7YWvQGrraWDJ4JxBp7SjRgTWcEWTdw
2KBNmdC92nJS2Dlz2u1jd4VKTmNQdN4P5FoIFW3tKW3cR7MZV18giL3CWhA4uTGoq4ZdMwJQ5Cls
YqE2UWw++BTwLpaInqJLUQnx2OU03pMIE1E1njLgSLZeAykm84FgUEiztSu2YumrI999uAv5WwjV
dsof7TD2IRPCGme2GfeW/UYrtH+fCv/JsehRs7Mi4ntCYcFVc7YANZnClbhjI1zux4nn2lf+PcJA
TuSUDJKBPqrTSXqrlgeRSjefhWnfa970YdOZ27qk2A9FfM0UoryKzNWocNS+bCbUaChL+oTnzOj0
mo5gxdndIzmbq8tw71WIpBVkpx1D/1NIfDxbrl6GiVNc199N/fq4ZVIdHKSoS4kY2FzTyjltMjwp
gQYT8R7KFdoe1C0jDfDQFncULkMz5LV3KuHEKJGocChOAUFxxgDGZ50G4AZI/5EGt96841YlNShT
xzhUni4Cx6X20FFvqPIQCiZzDbbzvtKJqPBy0CbNpS9oSPrOvDdJE4dUlW8TUom2erJrpgkKaGX9
rGjVSWMkLZv0YFdLftEHz3FO6CCx2dVsGtG+1zaE+5UGnht40PTobjBJGPemvTa2lKrz8qYv7Vc+
z0ebJTjwZdVskkynqV0zfqkXHpyu+qmvFvu6wqZYN7c61d6bmHAw9tndptRblhNa7iNAO4dtzgZe
yWOfjN323qgduj9Sfur4uTdVQ9vVhHS2d9MWjKiLY22Y/KCuHwfBSTbq64QGdP6RWTFC3QoQJ9qx
BY1Y/lTZVA7zZT5EUThitt06g2Xcwfw8y0rfj4hYJrfaL45IdpFRXk2PElgKGZbeGLgujPQhyMua
Hi2Q6uGr7JrHsUyeCFV8/c4jdwo0r4Tc0vUomFRd7Wzpgn5cgkY5FfVbQ5NrW1ROvYu8EMk0Gx5F
oDiJ6fCuveXcLFZQxLwDru7dJK0b/q+L5eC1lHqd7TPSdobCmo62zbspyEGwhQ3jXCwHIpIvWkQl
JeO2sau1Hhqt4F3G6ADs1Uk+a/be5oSydWlHQT970SvqJxNCzmgiGTnvRptuS/ngdCSFGVSTwrnh
eNeTDralHThvHMUkGDVa6LTjQ2/RsuroOAaD7rw6bJLAbZK+hTQocO3BOeOmpEOm6d54mNEUIwUa
/jiJA2OXCErcKngWiI3rYvZILlCgYvGw0hTZnsMR0eOtgUEuohcxoC4v8+qwYogDqs8v2AD93Xq+
y0nOCOf2zaSCETiEDycV01uWeXsE7bhhEj5B21wHl8cxmYvkrqBFtkGQc6p187FQ3Q+36le1O+Ck
sZyvuSt9JhTQLVbq7Gc3X8jbsLeDYVSB6rp5O6dMYQlpDHkFSM5K8o2TT+Nl6iecNWnS4hpaOhJP
SH+ajRq9P8pI3+K7umistyEjlbRVardoksw3ewE8lCPKyki2t3TU5aPIHt1YK1fK/s3C1kMMBUq6
darPdfekR/VOm7KOZy5jx+pGRtDNVH7py4Mj0WLMWPrUbefF+kg6+UxD5d50ExcAIT1Bf57PhQF7
GhkIjWThXxTZEkcI4sfRNO+LthbnaTG3dtyqfVOyupbzakhIKDi1RA7FHOzXtRotHpJUjmlZwqnJ
91mwRYetA0MSpilXT4gaad9qUuTKwWavmTCzT5AzOGoNI2Jfj52cGz34MCBLha2l1HmQGrO4k+S8
wsqZ7yel3qKspgNu6h75NwnNYaJVa9eSx1Z9z4vZy7i+eTAU0cnpqLrKOt4j4OiD0SyLUGI+xmJE
g3yxQnOKAunIz6bUfhY546zLp+K05KwKhfDpzXIBaZEfjY5thVF7uxXDE+czCXh+6u8rOsEBir+d
kURi11X+K8oXSBc217TKuy4UHol99HuzyT4Vszw7orwlGlXDzmfFRMbLjoUMQCptXJlqpxxyURk1
oEYQpdeosTa2Th5AgkJzHpEe2Ov4QuEJXB/w5MYoW/K8GTmFRkj63P12IptynTBfMR5c0qIKuzhN
sEPHHI1+kkOm7uItJ24w1zjn69JYyVwUH6sl41kxij/fWfZ5kg07SFtdQEpJH3YGY57BPZ2p+H6K
oaUoCJOfqhF+Z0u7H8mZcqbprqqMMligM6Kc1T4qkHUI5Lem3rz7Uh83sBRBvHa1cYp/Odofc2l8
1A5MwHE395uEpJy9yJClIJQ49CArJ4CyxTwnF0OWCFoZc3wUdlmDuqVWBfSfA4S/GKg3YGxWE/P7
DFR1X71gsg1Lt4mCURA61LptHbQTO7Yc1edERHhgGaMfdG4JcCChPCcYf57mXIVL3lpmVtqzWxGd
mlooQ3o9gWUd0cB3ZQle0aES5NfrBBRjbEJ08f2b9d4D6T334QSeGqnub6UIRfTn8pbO70vnZ3uq
KBcHJi6bcp/ZpPhINR9Qa4USr1sMxMKCrA53LQIu1MZr1d4rE6k5hz2AEap+UT1CwVjSDogMVglj
WPfWprOTBjYljQJ0j3LAr4NyLJ+1TxFF52Xp3aAkzy/A33NDdLPDQ7Jije2dGJNd2zTHwW7fW3Gc
ZU7iacuRvBPRhxOluyjzrmyudr4NHsHHAeCmBtnyjvdmTdbZKTpCiGYSo9Z+ukMZu8Xg2PG8Kz6F
V8v3XJoJFUGmU2qjwwaPuBw/4dTR6zWKq0OAJTIsNu4ZCOf6cXLuLGIKKfFPaA4EBEZ644iIka03
JPLFDU1vbzCetUZnhocwOq6HDAjRGCSTG9DwIxoW4njrpGYvba3qg43dtu8edGFuuHZjh/pOtiwE
zvktQwxEn+DWGUx2SoNQR7D8Ysr3KZ+bQDX1wYE4vJFTDdE6egNV9AxFhCwegp96ddHoOW5yC0l1
3OAuZcS/d87yZGvVT1vyg1zDtdxBfp6Fxl7LB/apNYBkEwzqLJY5EtaQNG1wr8aPHpsRCRLgYRgL
yIDq35aGIqxHHxNI4sGC+bU0jF/t7HFZbHLnetY7M7cpeNbM5ENJ778tAlERl/S97hBuf5IF3krO
V4Qosoq0pCd7pQKYOyWX0Y9Cg2NtQX8IvKkbB8J+rOEnPlkRwNeUQyDky6DC7ryZOi/fy4Y9t6DN
4mS4rMYe87Q8zjySgR9FI/EeWJyVV7pBk2XqVo8t0FDSvTIQFql131Ffgi/s2UHjTA8cJF3q56R2
ltSaTOeSd/VyIYfubRHODx2Jw9Ys2TolIDpCu7oCWibKL0GROGac3PV4YNOJLG6Vwa6nFewl6yEP
LSGF6pEtnZ7tUA98SDBF104w7afa6qMjAQU32RgsMw7i3kV+Gfn1kzFaHlJAKnpzDLe2cubmaJoN
bN+o92+q3Ovllxr9DyRpD5rJYy789uc0Mlv06MhG71mTGDeSNQLlO6JWxMTpsjFaqEyTRKdSRr1F
sOvm+2CL0ByDYrkxeKwKMJEbt7x5BfmPQ8YEOSU1om6H0z4e+sA13OfRiB+x9VJAJfJuOyPlWDcs
bUuJyEBtcxbaDXWy3Gqt+zBl6HMUHYebox9HS38tlZHuOmT4JzGlb8ju45NmFN0un8FgkEuOblxp
CK+cF9Eq+1BA9i9EupeRE51L9i5obNB9NeZBgqYa0dpfHW841uhI9ksHvN429pm3gBmtredknj47
DWSyRtH/zGZPnoUFe3tCfVwR/IpCBWYU8MYdelAW3ZgbQcA6M9Ua6+sSIFmM8lmKl1JL46Nli/ig
vbXIgYyeUoH0ToRmIBdf96nfa2Gs8Qsy8xEFAKvB5FxjwZLtDWCwNQrAJUXVsBCX1gI0/p3UojXu
s7Ctjuc5IefH93dp1NEbxcKGdJUA4HWiR7GAhkpFt17g6G+T9ON76ELs44ivF4IQJ/THWwjGRJFo
fwqDlE+bFGOdwG/dgFRd5uM1XeJdW3Y97cBowFg3/rInUulHnYLC+pxzXvljSe67mX1IAL+b/8PZ
eSw3jm1d+l16jgh4MwVBEgS9KMpNELLw3uPp+0P+Hd1182ZkRfSgMpSpkggSB8fsvda30qqEUxWu
TZ9fazUhdM6yUBx/Cre/RkOPF8harrFYtlsVwamtSemiKpYdEXXEJW7YKXIQ2OFEIbTF9VDS7kW4
QRBMwa9EP8oBq2ycWJk3nWTqINRA48mx9W5hlPIif8nWMSc3TtgBxAaaf1Hqlokozh3CCXJuDuxr
9aZQWAR+PlOgS9dMP+06SjscETVHNZG4nplVeW46Wt812YR8QnE/TJ40QYbO89nRDYNnkERQ9idc
pMx5A9e14IKIt62K4xNnL3aOQGbMUfwhEUpaW6FleL2B7wR1PWp8T2kC8GuyqkBZaMfTr6+6ppcc
BqpEQ3+MNpYfpU6HynyVshUgz5MU6YBcSbT2sj2wO16ViokZbyrv2pL6LSWuMV5lgWc2bjPNDsIG
a9c4Fd5kMlsH0rMc+Xv6lakn9QJPckiZAtoTPnJRCXbF0MNUgFVJYh6nHtZHF47bBSahQcEii84t
eHMMJPVm1OuOkgJ4XF9OX6pYAahjbZVUfS2ScLzOGlmTfnQJqcxsgjn+ykWDNqls0rWR4F10/pvW
Y0GWufxVmb1NA8iNfgCPGhvHHCbL3JFKo7fxybIICK/mPmOjVD3niU81isOU4IlRA/Fdil8mrpxn
sov3Ws3ZrgwsJ0o4tLJoHwpM99T1FTSJFURwo9A/BxrwmpzyzAKyXGkm6j40ra9GUV2GZUGbtbNS
1iILHmnIoQL4hDZYbksRBLa238ctKUvoIi495whbi5pXCOQQFoh4KCPE/djLUkWk9BZqkZ1ZS+hU
MHM6DPznoBWEN6PfGAp0yXh+LKqeIFaj+bboyzvE35oq9V4cg0QjKpRaVGI7NxOtVUeNI33TGtqb
HMmzJybFzEVx3M8pnUtRdShzAmCmrG92RD+esrKSt7lcocdPmk2h0MCS/P5dGPL8cewoxVqg4Klr
3fMJD+EQEZrKjhUvAZw30aL/if0CoV0FHKXsTwb2V1dTgmnL7mapghPdq5ZqiG9onZcqFHqOZ2jO
sVX64aOELddh4TPZBk7kh/AfLrAT3XHP18WA2lpseQFBkpOEiqgkwD5tOyp4aSptB0ajkzJ4N34S
zOvC6OttJtD8VPMENtX0I9MQcTqUvJ5MbWmrJvkLuTiDY8kjxSG6/GixN72vY+aorB1KQX+ray27
I1nejrHA4JtJmovJfKFj29PeFToRtUmEMzVYtBMShh9wktaUD7dSXAJHNZZQNjbWqqbXZxpz9WCo
67Cr9G1XWJdBptCpQ7+h60LUtEDKXxv350QdJI9QcXNFxRUIrE8xhfNQUGnEfaXGuTQCiWMHbgfv
1x/E9TaeIuUEK6A0+L9fyiIDDLQqEtmyVPVNhXHtf36U/iHf+vX/4sedlZdfvyESH2NftlPECpws
EEK2Knb8mvtIPZ5fG2dttFFi/y4Gpbab8+MjyTL1OR3IWJJyyNucbLKV38sWCpTZulo8ASullCZ7
DEvLJe05EfLFBROcrbAW3h90YEmQK7B0TwaDJZc/8tb4Tq5TIEgYftIMk7h/LpsBapw1X3gPkSeW
HeNaWxsmws9S7K2zKJflyjJJdg/k6JpHdI/JiUsQwHxDPSBETlQNhG0J/X1e7yaxoM+mcPMHEq9S
6yAMWDa1ttjEZfmahElLJWF4jTN48qPfHzHu9dvBVDPUAdBTsTMfgxp+2UR60FaJ5vtYDt2Gvj4K
zS7CNElYkhXxiWQl2DY50/pjVcQ5ihbM4wVnPZktUxbnG3Jl93XkIx2PkocM6flGSIr7iDMyXBSv
M7ov5uaRO5h1z23hH/SkvE0JVmhJbi96nbT2oA9oTpp6T00qR2+G5/uX91aQBaYYKVF3Crq/lUbo
H38tmBDgpBvFD6VFNula+mwVmZNFxgZ6UMnt9eqgo1Ja2YWEKSVbnnQVeZ6ljNFDDgO8H5DXhlQO
cUw2lkcXf1eJdJcHudi0tcXRZwicOMtouSOtMvWJVdhCCjZEA0kIhtJgIWcHFTTtSRHlbDvPFoCQ
Mba2DW01qg9ad0elE3PwxhURyeWOAmAEKdtyh3TVciL1CmH6JvUueUZQYZu55PVhMO7yBu1HBJUO
wuw0riaNWl7et/0aDkC3SXIGO2otu0qzag8tlNZXmQR4OnXZ7sCMOklZfoGmMTYlUUtlOVCZKOni
4pmGo7TIkPpQi/dEq2/SrCb0DHAeGtPhRwZQ3RVZyhmP1My5+IkV7Ukbpk+yi5AVReoBEsWe3ptD
YYhipKRUS2XpGVkenP4uf2QQayd1knx20GnttuGs3vSLKUTdtYtEjt0BBUtRwr8lYjlsCl938KMb
WAZ0GthZtk7pbnk1elQeld44+pY6bDUjpWjGgdyt28zcw+HAid0IwNZJ59tVShN6g8bbYPhnu4Xs
uS/EouEMYskHgAYzYV+yApmxNDeJ0munwqfDHofHhrCLE3ooeV3LsXgxJD9f55WSA6QVDRQuvzL4
muBBog7paJLWP1CB7ZxB0IQHBRhRDy5rBWR4vLUqrfVaaKPHSsUuJtSgpDoLLkigGtkdyU4NE4fY
sCzUaXLSKIdTzIFK5QnDVehjPuUYs8ripH6y6poRjtD7KfDZm45ilz+1FU2kctTTJ8k0EyoF9IXF
usTnODTxU7P8Usx6IbaVCtGclARPPoCmVcsm9T7miAjS2DLvTEwU5JvSuCOvQvzdq0A/EjwTUyFT
4UYeZdYoEn/9NQ5n+aT5RDyO0UuX6rpdDvTWfUugtVgJlzDWNLIhmuHkB2p/An43EA5d4uwJ6WMu
/95WQ7vG0dHTpzK0YyOBhYjJuu5086lNzHs7oIvM5490HMAjJkt7gTAoTCHBazwTwpyGNe3joAHd
NaoSn1I8boohqnHBY7oze26EMMJ6Ruv2Sb9y2kR1rVGm1tV1VdAbrUVpOsrsSyiMJMo6abN3Mq4O
mLGKC1EfA3Tk0zCAekmrxLjMXLEQ64c8iD0gA+lDpjEd0wHOqL1azGd9ji6K6/eT2tgnA/QtqaEj
CDCY2l2uLYIdoV0VIZY+SVjXUaijCzAg2as93ZPBNz1EO+Sw1t1DG8R7MsznbdUMdGu05FJHkdvV
Q+yNi+bLn5nk+55+8qikB0jhwwpQnV8ZOgbxiJ0d2ykWgfYtB9vo0mRr1tlUf5l+TMEtOcnLrB2k
xCTrGQyALs8coazxL/jLuZYuCRnGKLSUZbeW9w2UEpYGPazo+unbGRDuBiFYiUAAZqcZKtYaFaVu
K0XDhj3tRUaVOR8UTdePMZtNDk2EayhTt5fUgYQKSsBno4gPdL72TV1DNvbJ3yzNSN4xIYwuw0/j
ws5CP1aIWOcN7A6K5wZ+uHxqkIIYcL20NMS3peuc6cfcESf2IeHcc3KIaSyq8b3RpeoSTKNsKxTF
mLbnrVJUk8dRSA6ip3nuZ9BMJflEFdqWXCGdrwmHcAULa9XhJ/KQxK3yQlHp/adMJQEuiI50wWmk
JsCbnHdp2M4XY5ZkKnVHU5SSU2Pqm2no1ENKbNgaX4bpqbAfQT5CmE/FaUu86HIuk890BRGqKsqz
EJffU1rfyQ0zGFnTWS9plo+apByFmRk3bHq88cxabhpoFC0LarXw/A6i31AUiCf8QNZAfg5bYqZj
Mhgyj7WfvGM9zFfi1D8XI/2RSbSmVdRhx1RHFdww7pStbJxblYSbJqRh05Vy5glgxJj1u8OIvGxn
TkRSxSYp2uzMTsHsE+7JeKO1niy+jOKRYx1xN5m+r8mQ9tpRrandgyQo1W5NO7bbcDJJPc0Q6vUw
ocQrgldBtJC9UzLeTl11mcaMpaGGL8ca+iLLHINCoGcUf9zaqE+WLIAfaNJ4k1e4xP2EOAKLyCnS
4gOvMzMWz7K+Ngon4J4NgZPhySdrO1ScecSdKPvigZ0NABmjPxgGBq4xrfdjo59/HRz5JO060wVA
rrNrpFlAuQAFQa9t0aTqV0HH4lR1WrrueD+bVDaOmoEcN817fZ2InKPJ3kIZLgSnGbLqoZk5XgjK
lK0ziLeoPKwlHp6SKwF81Ejj+EkJ/NQj5Weni7K+t/T2MMVa66pxfNEIX3XylJhEpVK7nRENnIXa
IJX2QQHJfO7pD5bL4v/r33790S/f9WcLWRp+SorVWaMRamsobq03xCEZ4h4ZmwlzsI43qo/jThkn
cR8t3/j1FfDr1MktbamIt75jHgklVq99u8VaRzoqSgUCEmYblSjg75cBuftj4OBkc6RL/mK+9Z/W
QaJdGD5LwgZ7F4XdzFGfOC6o14qBAM/vak5H/12J7Xa4NtXWQkso2EtZZVo16iaEmPAa9BsYNa7o
ptt8rX/yD+fipvOjyOglzhuFnT3J16g5za9GbPNgILLTLjnMB8rXd+MQbeYjAEDBfaqxwpMmywb/
nMUr2ClQNz+MnXyKlZVySz50Y6OS5lTa4nbEtenkX+VjQqGtOhrluQ8d/Ro8qVBtqo++PDIhEBBK
LFBDKzPfS816guu0pHyRiGx3R5TRWWBTtmaYWeYSa2nX6SaGGr5FCiM/VB8FoXxulh5N41EQPnnr
iPM2yj1pV0h7qDENXxWwC8h8q/C9xfF0gv1d1iuMadsqecxu7LrVfDcRdYdckbnjiocEL/JT/CS8
ISWglITtYV1sMQ0qT+pHKu9lcv7G1Rx+t0flThQPQxVbK9pjN6CZaPd7IhWzTVrZ8Vv/nhEZdoUP
deHNTSv1c9wOz+Xo9S/hY/dEJKCyQmp7FKhJz/Z0Y1VDQrTlxCmtkYv0J9WwyxWZVPRq87u4xFPa
xLULNgzVsV/3reO3p/ncDE4M+I9+Dg0fypV2qpGKuWq8+Ta42F+KDc0eIV7T3doboc29mbz8kD1J
Z+0xH1aqfu0ItkLhe1Rxkdl95430IW7i1XiEMyIzcISdyLiunJfOwxswUxuOV8Ih25tHCsccJB/j
XTouIyDgxDG5wTMNO1K+vutj9SpcRy9Fob/NdvNa3d8RTq7DY8abeQZbgaCGavJnw5b3vXao/Z2k
LyJ/UaISW+gk55o17g07xDMTcEbANP5l0DfqFiVGy6J6snYh4utmZeymjByVXXzH0N5xkh098uZz
HlWne6w2+YlzOFqCCd6OFz6li67a4Y4AbQpqpzngZ/SC23gXtvGJOMGdca/zixbtSKj1A+dZusIO
2rE3TSo7fyZlJvmu9/CwCTOgWEJtdRMQm4YS9LVxipd671MGfO42wPweIsK/0bHZrRuGG9Qk4Wl8
T736aFzK7fsIreSgbMs1qtzKMZ3xOXnDEHIzrmhcihdy8ahFB4RKbYhRCKHn/sQ/aWsjniAiGRHi
SVQurSvtKfoMb0xlygd9vkVQjwJ8S/U7RZZ3UvhgUGq6+c360JJV9VbchRUtk3KrPrZ7c0Du4Eof
zZuYkG6IcVc4VjtoCahArRX4n5cK06gUroZP3S6cetuds9vi6EGKO9uim9zSwRUeqRUR3EUJrHPE
R6zWn81L/O7TplobW+06G3b9XKaOeeOcOP9I0PxTNzuIN+VqXcN4RxnM380UkE98QhzWYy+BFvMB
Sr7dst3I17SJdC+EQaC/AKN58w/1PtgSMvLTQOdbxR/V0mkiCmUPDpyNJ+ov8C4iCU8ufbp9Zzyk
V7CEEYFjdnqnbv8iQoc8x6qjsWnCaeNmTECYZ1AD/QQibvhV3LEk2sYXOs4JpKB5GpDWKCvQSPUj
noWKtWYxwSIHs2HSIH3U2HtmNjgWPnm7fArfoToCIWs+ObGOawLhUCfSjE3tcN240iVEfbyNE0ff
d3C6uNkMpnwJ2lgpi/bBNs/lVVxCMB2fJSvaC8PWwIMKgJ+lZt14/l0tV1DbxPoBQeQ4X4SbTN/x
Ib6j5xYoBdtptm3UtXScXIx3qks3tl0x634GJ/NIsnPviGsovDf4r4f5TBo7iaDm0ToE2tH/HsxV
fBA2nBLxYSiPrIjAMvIX7dG4GK/BjSXh1dgpX8KhcXn+Yg71FAwy/Gir0K2fag8xUIRSdCWerTVm
hlX4qv+A4bwaAc1XW36VKPQPQM7snh6pC3Q0sKMtjVzLawJ0CisEwKLiWNbavNXwa3/EYC148ZvI
LX2QdtK56t7jQ/bsM7TZg6NXBtcHWnaFTKZw+EvRnlOmssl3K+ZDccCH3oAG3GFYj3+s9glSKfza
gSVTPYLQotErWE6ggTrGr8W3utcMOppLSwlNBaHf4k440oJFZU18JGIZGiDufA3zrSjb+TpwWnKF
1wbS7Ksy2UAyn6yjJG5BOLSOZtjVdjwAu+Uxkc7CC+AZl627fIm+g2NcOOaX2O905tTLJAH53HSO
kW3RCbMJUj9zt93T48x4i9W9J650WMn5atwj8w3XxSl/tV7Yo0uHSrANY0UbUHinzo8c1//STvjY
5Uui2rU/o2ex2w9rwRsgMD7WPtOCI1z1W9Bf9dGb96nTbBuQqKtqWx0Du//In+XH6QW+tflB6Sf0
zH1+ytR18xo+lYByPnnkAKK2e+VDeODTxUfuhw4fmDGc+SBw3UfAsR6T0LWsazzYHVxj2mgtZU3u
Es+0rTyLkaeb63GnJQcA0K60nRFpvLRui3LXBF1s618+VI7RATAo7n3RMY79Tyu6PrUvmVrQNn9q
EAyu+rvwOvNJ92ts9NnZ3EcK/aZ1Pj2k+zTf+67F2d+uDqGrfqjWtTsjTCxGMkQ3zae/U+CkRZvu
IdZcGKbNXcCBkQH/xkBjZ3x4ewyK0xqcRFC6w1nrDoT74caQD8ZPwdiObE2zjSM9ee1KqJAiABJ2
EBJrT/V1QCb/kaO5XEMgGi/CJkBSg7LWQJlsqwUp7+xXyq3pZq1bz2dGWHPJyp2UO6G4omGF/IEQ
ttYxsSLlnvzA/28Ido7bAADjw9iDwNos2srEZq6ij6SHGyXfmJrHmT3Sr+wU4uKuq0ewmo35yEFS
6I5s2Mrv+oEk9zZ2fbahb3G2k65MUMif5OhOUTB/aM7ROcdTCe9kHdy656TaJjReNOYojEOOsTPZ
uJSfUJpDFv0n7TySijltOBWjDNDdoDhViUdxju0cKqToFLybb/KRSSL9jq/9m0Htzu3XyltxqHah
1+3bV/WhTLcTHWE0pTcFOjKMbDxQ4eyGmUOYkeFab222NVEUZXuSOaf8DM4QC2C4Mv1zMN+Kr/Kt
DHFu2Bz9IpOt+XegrbF75D94uzL1G2/Z9IJ3ERsWqChUcggHF8F3aZOgeK5lW/Qokz7m26jbNze6
nf4zEY7zcf4pDvqteInNle+ajwHbLy9/woO6AoA14s07lppTcrOwjpC/zsPKXWKwXeHR1ihQVumd
fVybvwehXVAaPY7U9Z65TsyhmAdYvrwEXTcRWQ903PzyWQNPecluOGVG1WY7Tvc6Rir6gdhz/mZh
qzBG7AO2Erbp78VndCu3hlOHJ0CCotd+Mt0GwTR1xXmlXbUjOvr4adr47FE/GPhLhLvHvhXDj0PB
PH+LCF397g6wxnhkWJ5Q1SHIf8qZqj3fZd/iZNcEfoRDsKiXbqBlHc1DiRfMZBe8Mo7hmZ1D8MYz
k+77wiuxwABlFu3yps8eOTqL3zZBwb6urUdQlqjpJM3TTkZmj3vq6tQpVNfHwVduEp4IeVXeaP8G
bxITFjuq2MFYku8TmGVPPnjR4utVeCvHN7G49qlTvVB1DkhN3rCDAjsR2wip2Z6N9eO4cIYeuhLs
Cdv6Ft8+ex/Rtr64GayqCdt4DjQ72RaO2eN4N8HIvVmGU3vw+6myf02arT1iaKE7KanOfKlp+W2q
Z9HlNvoPPpKigfVuH7LxkzcUgk3ZDe88oAXK8Y3qZddgi8jWZP700l16KN570w726WNwKjlCWeyV
OgQ73xQCHtQP+jMcRNmwLkmujnVAsQwgC7G4F13yBy5buohv4lV5pJjBy+KO4ozwitenR5GMnH1f
ONxcYZ8ScwUV2Em/G3+PgGTpsj8GX8zGmeChqGpP5jOG3Y/4p3ZjWno70J6f/sHErEkOHj4H8LZH
6wEvI3W98jCQ/bDSHLKov7KYHhbnIbe1Ucm8QPxYs0YxXroXSgWs190LpY+2WtUYWxzZCc7qg/Ca
bcRPcdpA+2p4VC9w1TFJQYw8tu/wJ9TP+odVC2xWO6+A3Q07eGHK2v/0981zUO9jxLw7+SA4hpdh
cwudqrc7cyduqldLZybiCeXD/kFCL2g2hCoWH7QSjj9utK11ra/tHTHnszk5Bf5HhJ88qyhCN9Mh
fGdXHf8w+0mpQ2ZI+jFR4Avs775EZblh24Q+m1W+fe6uoXJIv7QXRudD9O5vMxdA+Rg51t44SfgL
v+gtILqw5qeQAubagEXJbPwmHES3wii/hjoTOcz++l7zQDgfGVZjswZ454VY4C/SbZlsFpEYZzhj
J13K5RALDTXfUs8LThj0Xl4qiba8Q9mHpi2ecxbG6i1Fy74aN+qJgcNNCq/yPvzG/mo+pIUd/cSP
/SeLgHCTNvlr/jgtMTsr/epvx51xY47ioTC+6LodlMPkxRiFXxPQDYSU3vhl42sbON28A6JK8XYi
RnHHjtj/RjnOcR3tbfwNZD9jZ6SinLRDKIIr8YFZPrBH7BZHUErxY3Eq3pGjW4elvinQ9Vn7D8Et
5Hmy/ef0mzHcv7CFnjz0mOI1OjMdyUw5WM5s2l3Nc/OsvTYgBVfhg7jHSHCpNsMzZ1f1mB+kjbHf
JVdxbbzUPG0VgtJiw+TJZKm9sre+92+DSzfmubwjUBMcIrMKr2crvZleOLD7kd0cCCWXK6fZiLT8
aPY9WR6j6aO+wscluiFBFAaO89F8IRzZcvqT/zmMz6QKCNlWE7cFIVes+qvWNU5Ea3D0Wxw+HOJA
G0m2+Lo8QOOpGvblj7/RZBf6VMYOoINL7wZb/sdiq+2nU3lmFkRzaHkTF1tv6wfNG7d8AuJBWTc0
BO94jEMbBDUliVHDC7SLWChpbp2W7TNewo+cbVkI/0j8qswt0TBM4M8CE/kiXLBL1ziW780LdgqZ
g6d0Fe6RBou/7XmUOnVrIIIerNT3hIU1/eurZCRkWktKy2lg/jlGzSONeB9D01uQ+Nw8BZYWhYZI
ivZ4ZUMx2Ue//h1mzCpL2oqhYiX7RurNNRR5FEAJB7soxjClzOmLkCrNBqwU71tvBNkTtZwvAxOW
skrtrIpxl0TsvVApoxAduksixtU2zbmesOyxOk88DMPyR4zsBsptNeDxnhVkcM2BsAq2S2Pxf/4Y
zfrYqaW+TfSQHICBuJZWZUOZ1mnlWd/Wd9FY/cESFtAhci6KsOgT1lkpcFL59Yc+31NDCLY0Fyhi
IjAmnr0GoZqG5jMiy9oNSzbm6B6xIFJ4VvGeouSgRDvNX6IWPwrJJaBiMZSBiWhAwvpcnwZV/iIn
HiJvzGFON68+79eLKtp/VdaBWufM5ZMBsLJwd1fB9K2U/tFvfdJL4fphHnuJdbnhURHxH3MjOlV2
0SuDlhtmlsfxajRdsp2xWlCZoXHml09q8zyB1VwtX0fmWKEWab6EOAaZWd7qsXlohTlhjgRiN6bv
g15SQp2ep1IgSEkVXSrrG2kyLskUuKUgnxQOnlbvP+SSejN8DkeGrJEoMXFiqRVXTv2rT3NnPbTm
U9mRdp8EqIH8cb4Ps3zmdrCBKVRIWlP5ZQo9IehgIGtx/DRlTfAsP8TRF7q+Uh+afCRJBpcV80wK
z9Ng6wolfRCnEKgvphPMGNPWr7ptLwbRKlKXLmZjHM3UGvd9zibTgq6qVBnlIGFWt6SRfU4Ujdem
bPh2hDjDCSA7rYLnudN+VKIHEInw1CVdutFStgud2HkY2E9xFXIaJtrhf/0/xM8feC7Sb4mhqmki
XiI3i4hqS+JFfwO66GMq571gQgVV4UMUFpiCnvVC9qNdk7V2llXbWo29khxdEBXT/e8v/998l+XV
ybwXTZ0OkfobN8cYtZG4HaN2xWT48UfVEZuA0kFMFUNYBEp+rVPtEvFK//11pSVH6h9Bqb/etiQr
hmVqNLdUebmwf3BsxEYvR3mUajotBJLWOMVqfRsZw2XS8cLPImr6rD5iwzvqFnpO2smcbAs4t9bg
/culLO/xvy9lCZ9WiXs3rN/ugJRo4oQ8FI6pCBYhrgSwEMJ3WJioIs/hOSjpTy5AGIbvSPesv2sL
/stiJ9wH078Mh9/jt5bRIEtoURVT1WTr92vRIl+ShSKiV17lGKpiFvgFK5BO5XuIF80XTPVf7oTy
pwEoY/EwsJiIOpE2/3knEjp2c1kKtavnlPuMIbsbioZOkp1WN7eIN/n4Dal9K0sfYAzJwjhRq5Gt
PXIAXCapp6R+jMQYqiBWWjuR2eurGj/kJxtstwtnrn4y0YCUE8rUNuP2lh0t8ApyBAcixGHryGyv
f7+pf7qnsqIYWGTNhXr127iewPGzKgWNa2YshDp4GFuvhn95eH4N0t9HDpGPhHWK8LcMQ/7Pj27E
6Ty11pL8U2uPsGmufWbsB4Pid8sTU1KCNYb8Opc9OAZCeebB3I2xdsT/MWJfT696yIhKm/IyHHyV
aBMJH7SpfhOdyHpWvqVVfYRhCUJHr7Zi41/ELvwp6qze/P3Dkv+LnsWoU2Rdk8GhS5ak/hY4amnq
KAUy6D1oIigyjQJagY7GiVbLlHFP5zrK3MxQdiO0J3EpK5sbcgafAmlA4JhAGNHH78CSv82kvjcL
c0Eh3NCeh+DiZ2b9L8/IH+cORaVxtzDHZP3X9/8xdyiNpRdGxOUysladBNUGw9VqXrBTUtbfE1rq
i6f/jSyfWKF2GSCAoyZDHp3Y/tu1/OnpUZi4RRVFPcLQ34ZAgLBEEsyJrGeN7olRJZOz0EamkJpQ
JYM61nie2p4We0AbYwizr7/fuz8+voqlyaoI501nIP7nGLTwm/zPGBwRFDm1RDpc0keIRKe72cUx
APXCbpYnD19WAhBkuTm9TBQNdaUFJzNik8PGPn6TB8OdRuy/amPpuzUSCq7BsSR2YzJSTtlWi71/
euxD/wNOxB4bJQXTuPcWylK7YKj+/sb+uDASrKobrMayav7XvIQGlQEk1uTT7LWOEruu4ApEtbYZ
Qc20MVriWbJII+HUBPnl76/+p3WREbYQz0SAe8pva4I6+mqnZqwJ08LpEShNDDPd1H6It1Jg3Mm7
okAytP/ynv80a6kixCQVvg8ku99wcgnE934i0NydR+4lgps33Sz+JQX2317jt3cWaa2MT5QBi8jv
OOv1VjWzf5l8/zgmf6UXWzwXNLl/H5NWDKtFbnkoKmmjDLQAJmYRa2SAaUV+HX9hgtQIYHB3xC9z
xdREMx79cJoeiE3cR3V/7EX8oaYsOcOU0qUyqBiEU/gWlcGmbVAA9wojuROme1iyNk8LMCowHsrI
/1iAY6aPSuPvQ+L3zGG2LIooaqRdM/dYSPZ/W1NUrewUUPoc3hCn2y3LuK2m2VpGBLWKAWwC2krv
uLtpOYC7CQjaspWSrW9p5c7fL8X6rx0LV2KYFptVTZaM3yedSjdEcyqVyq3yHyGg2R4SGWoZrUQf
d7qOdevvFYAVobL/++v+9+4E1aSJsM7QiTw1f31C/5h4rUAikylJK3eeQ8eQeSaJeMEEWvb40Zh0
a3Ka/v6Ky4j/zxV2SWQ2NQPjvKaov++OidmM5mkycYephHHGKLPZyr6Udfz0//E6qixK3GBmc3V5
5/94ZzpnOMWqjcI1qd3MvrwVBswMlf8ve01T+dP7+cfr/LbZEpRU9xGOFC5IilawVAfNN6d83QYF
vR2kQqWv+JBGxa5o4pF5u3xV451RxY+8fWoNfddvBGvRXCnZWkGPJSmhuInZCYE7z7hi4nj5HuSD
AQVbpQK4gSzNsdUasd+XYr6FHyqsR01E0QvdpyMey7H84BZk+MBkf8kKUYhVboLN3G+KLISfq9Kh
k3qjIBlCRQBftOuwmD/xmQu7gQMlnskBeSS9/LL77E2yDIwkDDgQ4xcDKPI+GA7HU1pthBejVzNf
JQOlBNjHEnPT0DrFDhmS9IiP0TMDmMiZLiJcha6jjeo1KMMfESYeAZp0sA3NpIY5S8am1rQXcSPH
84VDc7X1qbAWxEDZvY7dJk4QD5hj+ESMy2MQnf8+UqQ/LExsKAlREJkNAKb/vlsi205QOKYVbpwB
BJBD4NRpflUG+WbW1gfViN4Wp+SKnefZyuJLY4UqkKYBq/+hiDRvytUb5vUXTarWUljeZyF9k3Ql
ZaVuSYNI5e08hRR2Kt2JxOCp7vWcm+t3K0yJ29EXv+oGf7WRXLG10aVSwycIwxTNAIIq1kc6DDet
tU5z291kAgOb3t+Q00ZDJLNOdRWuVWyErcoPxKS/KGPnhANezviayeoBL8lVbvsblrmg/oqnfKco
0tcUEBYnGCd4MImt1PJ7l0vbcqT1GPGx+z5drIhEJLoBVT0jrsCzsFquU1aHxGmM7hbq0tevn4OF
3hTNFfWt0/QQKmTkfG1qeaPiuxptwY7gqibuXX9kTpPUFyDbO3wWXhrlhH3Kl0BTCU2HDRHWdwJ9
jrhdYO6ExOYOyWsdlvOhBWEs+4Hw0ObNkVC8L0vTqeab9TNxdPMl6S28W/kFa1zxwBmUMeVjuPqX
EbLs+X6btAhKkiSKTxqqTOO3ycTPoJbK9YQ6GgxZEdST10IuXekWdcis1jYkIX5FCNiRZNTIWURu
e9L8b/bOqzlupMu2f2Wi39EDbyamv4fyhkYkS6KkFwQlUvBAAkjYX38XoO6PUqlGvBP39UZ0V5Sh
ygCJzJPn7LN2TxHUN7rdG99lWs7PvouhOya4CQ+Wh3e+RSHL0rYd1pU7cCDI0w+JokRTo1q2dtHL
NbbWHhDeq0tFdE+9I79qhfpQVyhrwtA110UrqCa6SrDvZP/GIqb9uusw2KGptq1rLlTM87m9CoZW
CRs73wW0DJDvEi5SWQoviMuDo99Xn/xshE4IBHtXO3C2QgV3oUb131jUJjjy+SGCb8t65roW/5/v
FeWQuOD+G/Cy7nuIANmW/r9MWc/cEJo6Fn3cD8c8RZxoFPtqomnIqefcbD1kxWlMR6P9FaOklHYC
0vL9O3h/43XhK8ifaCzRsb/F1HId+5VcjbbyzsDfaBniNgNxDrYW5oUbf7LszMiYv3Hyf92cGOyP
DJAMFrkNXT+Lw2rMKtKEnioIrc2N1D1K79UTDKpFm1ancnLRbfA4LA044m3x9PsP/zWCNqfVVHNA
QjueZZ3FmUkr6G7SYtpRXMpN9Cut+mE4ka3bRHZ51enZ/aggHvr9h14YU0Tt4K4dh8DIUO2zXyzq
omiCFjp6kSD5REsokvpptBugHzFupeikc3rk+qcsdu5QUT///uPnEPDnq81UDX62rpmabVvngVkQ
pbi3pmUK8B1jEGCpjA5bR3qnLkmt3mI9fNfSHEB5GxfIXAFt0ZGdKFtz0avuY9UYJ5w30J5Eye1Q
08svepeMSfE0DPdGcw3G7xAXtOg71Vtn69dpgi/OpgPcs2Xx9acp7Yf4p7TIW9tNxhen6T406AYe
3eeYJnwQlG/sDi4NDIOkH3aQOpGQdfZRIVJh35VesksSuAYOHR6Bs8Ua4NpB503LGDtK6T3+/sT8
GjDz8yCmG0DOp8nmPOwyBWBNxU1QAvH2nngqBu0EkmGlCu39fMgTHxN63XljPP4avpoqW3JjDtb5
4LOLwKpJYkjfSXZK0xyGtN2ZZnIb2erV73+edumYWirpLsOFLKifp3EJu/oo4r1xjbDu7JY9fMGF
RsKNpbL4VCrGVWLqmxhfUhe2gFkzy1YGnVbNsI8QBQKpsuDAjc6j4r81si6ESxwDTSV+d3XVZkf4
89DqcQDM45i234o+oDEKHwyrZw7wMRGTx6b9pPkxIp8YRpT21lCzppX2/Hqcpj7HAhLGSnP22Swg
0oNylOw8C7gEpkXU3ybWguoUzOtFt5cw3bCMJI01kUhyDKH5BaiKs+AWz1Yi2NYfl8AHr2fgravR
COhyURsavcd9lkCsYSUIIjwTTRJmml6t6IxDFCKafOPX+X1q0kTeTwSZGTomhUkDPd0k9ImlU0fb
aWYZKKW7tjrgRfOfA8TzYCcBfaKJnFQrOLiu+yxr64DND4F+oU5N8cEmBKe5hH0MkiP6Ql4P5VsP
3E8p2h0gLm+pa+UTgOeNmLYBbwy46SL95cC63pSa0TCGPR9wYwzDNTSZ6AYMSH1cx6CTru3hkFWo
0UqAKP5kIZhDIqFp6pnunLUh6ne//xIXLy4sByhfeDr8/7OJJDNLgoegSHf0dCKp4meriXZyHfnG
pu1CvpER7Nnse5nUbXJ9P49gut2MXJR5uuuwu63QJroNyA7m6bpsD4RQJ5gH6MEny2TDugsb/ary
W3xrxre+yK+RypSh1ygTuSQ/Ofo/f5ExVmkjBs2602q4Fw03q77a1sFTkg0framVs67TL1Vp3UyN
8Jn75X9/wDkKJgu66arqeUaOy8DGCpvZbEj85+l4V+jLssp/Y7LWf90kkwRjZqTOQPpeP79q+zrJ
tbFgxsAZ0YF5guA6FSnqLMxpBg3KA3NWbMhd1NreopOMcoDkixaNiV5BEU9oeGDnsBs9Qt6pfBeZ
3mMGM0f3MRvokQfWGgKnt6fhS7MNNhSmRtnhQlrGtSsXhF+boOxsDkonMVsRTxzKZa7rV4P65qx/
8TjpBqw7sBfuL5WblIPk2GS/dkN/q2gNSOREPDWkTUFCuihr0uhLk34xAb90CriqjojULg9RjgDm
9wPDma6A8+mAE0WR19QMzEnO1jmv0QE8BWWyo8mYLh1A/y7gBwiUJdTKCO0XTVKFrN+FRBOEBHee
W29V95PjmqcMbU3x0ge0rkQZ1lyESzELJKhpvDBHblpPQ9neW9c4c18PUj+5PckMwWBQDfFkyuSD
Z8iHTBRPXq9eCUD1ixrlpFl9qlxrXQYK6lriJVLVpCC906iV9wa0JuFFE3j4JSootoduZqwL3b6i
x/i+NUDACKc6ho0B3kLdUOFf+Y4D8NR+zCO2uQx7FcVpr4K11K9ChgOOSxGsnc/zfcfO1vNRFiUZ
lbD4EqtvrarmxXPvaMY0/9Hbdx7aV349pRQyVrayOuTAltykPXQUOVfTBVHhJg1RZdhZWlOxgfli
c6RjTzvFVf4UB9XXJqz3o2qelIgoU3ZM2GVVPsDieDeaVUdY6i2TKvwaf8EPblw0IaIEe3hHh9eu
gEWWTJwpJ7VRRiv2c8vgcoVVL1sD3eM0FxsOL6kQ8MFLCbp1WjoJiuBe1tSzHOWNZeBSgKGpJttI
Gry9aRv386yYOk0fRwBEdorUFlqf3we9f1DjtRaU7/Fbe1IFWh0/vfOK4Y09jn5hCcLUnBnZmoq1
xnm8r2tc1Sbt27vR157BtX0E9v/B0cJ16eUPsfjcaMbO2A0v9tRYZiHcCT+qhXNV+MaT28qHvASo
5wqqfmLKVG3rHgGF7ueY6KHNUj35EFbp/vfX6qXZlZyWZhPvE4/9su1uoa32VVAUuy5G0ebk+7Ih
v5N1D3iD70eRHNTO2RghHVqoNIecL4eOZNGpzUMqUUc4Ia0z4W3qjF/j3vyYuerzCAsudt9r2fCU
1Oobe6qLp1fTKEtSi2FPd776moqHx6hbFzva6W5Ku6sQDX0IpDiqanQXEGzlab8e4mA7uNabvkIX
Ams+e8o865rlMVf/PLaY8jpZmyVjC/OUpc5o1nrziqtmaxUrS4kf6Kw/hKP6LFL1mTz1BmLbNu/8
G0tvHmjNXyTSRcYMfBqn7evfn8lLm12+HNsZgxiMndvZrJv5lQlwnjM5yuIjuLHNMFofY4vpMgid
BfvTKzUntxRY1o0deAfM5z+88Q0u7Ks4M6pnuDYbLPc8DBSOGcksJ7tUDu3DdH4629sFNRBz+dH0
2gdVTT4UmX3VJ+4N3pAeOo8iNj7G9fgsneBOyc2POZB9xaRr1tHeuDovLMeagarGM0zWpF+q8y18
y3wkD40SumFfXbxYVnlKawZQFJR3bpO/VQy+NFgMbLZ0S9N1qghng4WR4Rd6PeY7sgObKkAND89k
AXl1JezwIQ4HnuzfuJync3y28lKvVy3DoAJt6t40Q/2wcRdj11eqT/KKjuXHER1jT2+4I6+xxX0r
8e1cOts/ftbZePOUOIlNc0qUefCx6sinwVSD1MUOR4ueyr4AwOYiazSNbaiWN6MoHJpw3KM7eFy0
9oqW9dNE9M1MZxNQz6sE1vCF+QioPqOSjzsJuKV03AqticDwqPtaESdaYkMQ+oYkWQtF4ugcRVOd
ZvIxEs2M8iNsPvFi5tpuMIgLrRbsSjzu61Dbl7mzzov2doieA91Ze3WOks45uPRgk3LR+2Ini2Gr
lt5RVO0NZpdrRxm2FebcSleeEgA+jUKrKQ2gaXudtcPeaOhSK5tvcSxPbc23DPKbPodgkvnjg5VS
KdE9LI0KmrSXkQPCJu3HhfiCE3HC9qwwPZgvvvoRK5tPSW3vKpBlymAMS0DaXr9qVUxyDIg0m5J+
tJlw6fFTNiYqSbrxzIONJsiJg3KT9Sil1exJIM0is1jjgyWPYzCksFBz1hG7xMmnYASCF9iaxqgD
RQqiA1cwnaCUWrZx0CHclB1sOkBR3RBjENEk901GkGh4JmCQVE15i4m6jywRVoJ1E/ZOuIUshGSc
DPYCE4aPfonOOvaMbY4tkKuIOzB69Ogw6kc3vwN1vjIE8Zij9vs6Zym0oMYl9Au3eAd5yYtHe5AT
1Sd84Y+WW720UXEXVPmdUku0FD6aJ5OW9uJr7WqPekrfYp4UH+J+D8tw4djgbikcPDrAkXxBkzeQ
Yi/chRbvhYeliqlVAzjACK2NVPbTkOjt8s4bnKNrDzSR8iWneQBI+hZ969ZI4B764VUXNR8LJ+hX
eTNsfz9dXrx+NMfRmBwMZCtnG1a7rEs52ExIeu2vKpsZOezeDQLHC1RC5mCvm9E78hPfmAcvBSnk
P9i9IqZAq3T2sVY4wFAJBrrIKP9oqneTJxn5/PyNmejicmQRYU4VW8qI3tnnmIiDgNd7OY7K3q7p
GnqiIMFndOuSTSmQ0wHdDO+8Sr+OsMUptbcjhUszPouqY3OMycKebxw9kZWZ6CwqCvRwpCWK0wb9
e6fYVzx9g1CATZ+78IPxnsl/HUYoXkEiXqkVgGSX5GODIY+U1bsEK2ISt0c/06lgWcCSfYxoOsiZ
i0zLuQRrfxek+XMRyPsmDA5wxY/e0AJTwG2qtSo6FHKy+QFGIQENxFnXrIbCPhkNGLiE6bIZphoh
nvB6Ba00HKZOJ3V4MvJxl48Y7oTOUvOcmyxUEfI/63WCMKelAR9fr4VjRPeluKvcAg27SdOAKsen
6WwWkMHo/+qTlRvbH9hKJZkNtGEAnxXfVfCWIPcSiXz2lQ7hwlSxC5k3DDh6Ky2ISNS08bVLkIpX
QQxOgSxUnTlypcdtQJYBjKMGQjj1oy2WH7gQIFCXqXihkQowqQqbGytjxNZwkAI86DNpnkTflZsB
zb8jZADewaNDW4NDQe3Rae1DrdJEmWK22/T02LbxhzER0DeySSROz2fk8wETVvD31+Cl9dI22KJ7
6N0YqtM1+sN6Gam1leVJm0M/pMakv89sjH87dZto2NX8P33U+RatFfCGC5CPu9CBpJhPnuHk2MEk
LjupvPGzLkbJNvsqdCnI0djO/fy71FIXRWlW/K5kh2MsRvT5OuyLzRS3x9rwSQuwF6OTHdzwGz/z
UtRDloaUFKEW+7CzqMeukBXkKdNLT9kXAnqW0fIi5Y0TekdNcH55/PsDe/kTLTL5k7HpL9kG4NSo
W+AY7qq4ogGsOkGVedL84bFIqxfJGgLVaf37j5ynjvM4a9LHkutEreyci3/GWkD1x0FhF/dpuDQx
OWzRONJs6WE0qlaLUdoPNWwmvOC69MF1T2UCxbEaiBGqbir1FfSYyzvsd481za70mWaSiDQat96A
tMFSCqgTOI84mXVMEL2R6PJpihv3tnDs5ViNGE8LiYs111tHVxpeA+S2jy0c3RXXyjGK4EtRvK3x
KX6oUhrjJEy4zDN2Raa/773yXa7kw8InE4ugeRXKEJqwpyQrHf8EcrMdXcdT93lZA01CAIhJWLFk
95kv4fh/il2oExZwvN8f1YujljFrUAqiNI0G9edR2/U+Xmmhl+26UrykwwcP2kjij3vwdTe6uZbN
KqbfcXwrkXlpAMEDIpFJQtf8ZWdQt8oQCt3OdhCqX+KR0+eN9dOQyqds0mDgWX0H9+f0+x97afWn
8oTiXZ1u5uj6h5lH9aoEQTLkw4QlpABXs/TQaU1Lf1VYh9jV8HIvT1N88vvPvTTj/fC55/vneDTT
trDUjMbmfuumjLHYrW86XXusivbm95/lXchQ40JsIxJjW8qscJYql52LoQemTDsjj+/7vu1WEbL1
gGysjp89Ni7im4WZG9WncTuoIb3sLswM8oYaJ9r3a2dh1TsjeE4L6Ee23d/GgXEHq7LPfACnRorI
T9GeA5terNoEludbn2I0kmtdR5bXY7tXwxic/Mk1a3wvG5AmY/LA3Ai7F/LUJsz3xLS0RdNtUtOt
jXPb49xcYruxiu0TbXfeTVLQjVQq7Dc08NcLdl4kjAtifSU/YbNR0xJC3tnXtkFr4XEna9z0MIZE
SrXOre5TO5odJnBsezRpbZF73fh2AMm5A36JpwlLsIQxkSwDHYZwYvR3Zhoepri5rIxHl4i4rxkb
WCqsg7B/NIMRGyx5iovmBrsHsXYS5dgn2NeDn42U8JsyYupuhfKAx6y8saoQtyiaX3HofWOJuXTR
eJMBNYUHrtZzUWeaihrdpSCvLthdFcZjC45CquajJawjBd9HiUXZGzO9fmnwemgy6IZwKBWfjyf2
lwG+hUwQdurc6ADvkd36+kqrlyUk3Ghyh9KmElwdeTvbj7E0zPybPorjXRBnD1VDWVPolH0zXDv0
+Fvui4/o7TG3ascJLZEcYfHCS2gAqoPNWqctLcCaBQ3i99fFhU4Bkx4LdB460w25yrPrIlCGFE1l
CvPIzzbop+hwV8l495V2Y2b8Kvy3xCKiqU8Z4K8nSojZnuchzB4KMuQBjYiKJ7dtwyws8wdc9dBv
0eq0xbWATlz47Vh6pB9aY+PbBvB4AfFSKhhQpOpkDa3i+xq14e73P2rOL52tiUT7ljYFUy7pn2nE
/DCjefbgZlI30l2vx+uSpDooNfckC7tdVnq/0TxfrIoMdHima6cQvgJ7+Jz23gBvEJkn2yhhGwC1
0g3dN+ahS0IMRNuUjqYowfklMRv01ij8lslWuOFVE6VPSlrehQWN0ZZJI7LE46SC411b/Qn4423Y
y2uL0tei9dl5ytr50G2yMH+RCScKSj0yt+xlwK3A6XiLJnePmNag9jGVb28cU/XCDIo2AqkAAjcK
O+dVTTX2A5u0UYY+u8JIKaHfrxmYNnz1gPMzGhGObj8W0b4LD14HeqCIk/HaU2E3dOGzOpT6LQU0
qtspxCDDn/w5mxLVmzY8BSOXy5B+wR8yX3e5vIWOCvcEZ0VPkOPIba4WK2qVVQxXFd9OLrYB6rjl
RvdMVgAq88LZpYln4rabs5dyjUOh45BjhOSFp8oX3JTwAEANSF9KgqJtJ66p/0Kf4v1jXRohWkNP
WaulQHmqGPeuFT3myJAWRmNqi04QK7mKe5V4X52OKdiOm+fAUle+RTSTtzuEbKvS/gyx9CXwg0Mf
wH4KYmsVGMXdtJ60zntsMD9PQaFMjce6qk5a0zzr1Pqomz+2ka5R/eeNDVWeQmL+rmv3npAUyMOj
lbvtKoi6b9e+atx4rAaBGSdbsoW0pFcllimec4cdMttHiIBMsS3MLyF3YzpxRwf1c14MX98YC5eG
AoI0Q0W0wqb2vKo2UExIa2lkuz4uUrCQxgK8730W1P2W/RzHJ/LuWlPBxHOav+izSTLtDWXJhaCF
BkEXnbk1rejnCV7srssymwI0r+D0dan4YDsghluv5NggJ915Q7ke6SNdRLCW37qKL8z+pEqo6ZDG
JUI8z77n1NibLovyXdJgIinyeGcWMMwcQPcro6S9qqAZ6cq1HiyugU3mh8BD650vCnyfQ+lu9Ty+
8ZtS3xvDZAHYekAI8eVSrX3b9P41tMwVhkmnyMU4lNhiS1RDTFhV31ex//za/1fwUrz7PiXW//pv
Hn8tBMarQSjPHv7rVGT899/Tv/n33/z8L/51jXNbURff5G//avtS3DxlL/X5H/30znz6399u9SSf
fnqwztHVDHfNSzXcv9RNKudvwe+Y/vL/9sX/eJnf5TSIl7/+eHrmFEAjpu35q/zj75f2z3/9wTw2
VZ/+88dP+Pvl6Sf89ce7lzyvkT095RE5re/v+cM/fHmq5V9/KI75J8kk9A4uxWXyVx572+5lfslV
/7SmyhAvk3CyjGm2zItKhn/9Yep/8pSNTkFnl88yxdCui2Z6yfD+5IKidkOoaqCiYLP8z1f86WS+
ntz/yJvsXRHlsv7rDw3xNwvdTwshAlukrOxiTIcyzPnmO80M4nqhDrueZuou7sa1n8UP5jCggwmX
orZhwynabZ6q44aaHHst3cS6x4UMlqcWJVwnvRc6CAcwcSMcXlyXZbW2IzNYZ8SONDyTYrbTFjtf
p77rPB3ArCIFg7yvVmgOluFVhvSd/ouMWLThf9zH1oHR3+OejZpIe8z9IAZ5MMJgMIfpvRKwJIYC
bHmKHG/K1PLfUaeu2mhfJbgVWrVJLxjpVCyK7TVuveHkrhav6ikzbWLYhRGbCaEhCR49I9XwkEfv
03jptNu1YxDY8n0c3kdxJbaD125DoPM7UvCf0LFXW03WeIYH37ra3taGRvJ6KLEUE96VyT6ADtKe
zrI0PaQjLT6O3UXbrE1VpE5gA+oeTqaKVw7GObkOR5lctd9ow2oME1AnSp/sHb36YgzRt9B3MSA0
lPe20zJJkcZfNJjUIX5191kbmiQD9WvHT/0F/UoxUIX6OjGuu17iF2QG+zykjc7IvW7p0z+4akzH
pf9Rh3bDgrofdbUDZpNEN0M4+IvYAz1it9dRYEpYoF/qsMYQoMUjUDHgQoE8hUpfN+tKCPx9UuCa
ql3qq7YH3mTg42raAFScocSgiEriwpOIzFpKyxPKWNkacfRo6pg8hf3A9jyAtRaJEMwgPY/L0alP
9iiObdVhLincHTuAxLWSharIr7hWPVW9FQGHs28bz8luyW4IDurgrAAMgIOr6QJLU2WfFsEtWQpn
50ShDg4Wq+XC/ORombz1A3HVC08clTYjaHY0qqFGinGaC+VXGU5+E4pFTdAcJ513pAjpQA+t9mng
OhR1IF57HR7YheOsER5m4D2NxSaXmGaz94dOZhM4uAFBcGKb7S5z9X7XpIQbrtNZAF+eyWas4NgL
euHrdquBCrdy5YX8Chy8ntJGFfBSEBj30t2EneLs47FdARBvrvIamzOfIGmj2il8NFIybLoZJz4u
uUtHIb9gm8G7psXLoev1hvJ3Szdh63wmPZLs1F5A0BN2AGGbDOYo1Y+9F5HhJRmG1q68Vp3yuYMW
js0csCibPpWg9j9nSneVqfnDiAEusWJ0bbqQxzqKW3mS2GtVVzEYbY2PXpU+wNeYOA7DuGrqal/5
iFUqNlqAWuzr4ikaCT3bvsfSWH8gjM/Qd3Z3nuJuVK2ExwwArR4ysrGRj1BXeXEjCKCQu4FAWsNe
i/UtDakP0InLdSZJDQkt/5YBnRprR0LV8g3Gi68uVGfj0vBxZU1GN26lGcu8Zt4a8vrIlzXuOMpf
orhDzxdpRIlEpBB6v8BP3xaZhzM2qppKA9VQ4RNjO1a8sr1MHmXy3kuqq85Xt+QESObaIwypz1rf
PifdwJfoG7kabMihkYonu5DlmvkbkGCD4cs4jjHVJVzmADEvyUTlo2Df5NI3Dekb6u/Rd4kuM9kT
0yVJtxpK84thp+NBwxUw7ylHdQ7iMd+XcBx075TbmLRoToRlcUIDkWpGHd7LiyYpuZaoRawavKOW
Y9pu8MclnAzaG1pcsp1uMRlpprPtxghgLaX1Ycu2zMvfp3rt7QvwDMI7Jk25DVGSKirzg+XRU6nr
u0ofV5GP52Dmlh8tF41plxrltsgpIaoGyUrBto4E4aZphxBtIS2SFHGqXdMnH2Bw+6tuKrHCWe/W
2KYMFDOXwBrqD6PJRNfJk7TsYRl3YAq0kelizMJjiz/n0jay20E375xWp4IHGk4EgkJsPLwXqQE4
ypHu/ccxNSYXy2bEt3I/tBIXJ9CSvZqsnH7aUhpqQmPDwaAOeEVSzjKNQ9cl8c2IkTZ1kqC4xjrL
XknrazlN117DdnrIkpWXOV8Vz9rpeebT4ANSs61UfV0DXVmUuHMs7Q7QjL8aHeuZBtt7NnCI9PwY
RLuDWtkeh8lq6QtodrB3EZzVtYzAc8WAmNRgsinQqpX0bXfv75xG/aK24AOkAYxvRD4rhAZ2jl5/
z2/26HCBJcUjM4xcGYHxrbRzgPxMGEPlaQujwo9Kk/FGc32SMpZaYyWRXvtjck9jI0NB6t7Sr4wH
Q4+uLRPK5FCW9BHkXMcEIuBGgJhEebAStRGvxgYLYECc5HLBt0i2hhmtccVgrGN5I/FzKnHVMzOM
sg2PQQSPpvC0T+QwqnVfY0QUhGDLFL3dS7UbDqGuse2C8d+l7oNaYFuXOfq4sSR+SD2gyBGMxIZK
NktxajZLgNLcJxvCMQ7sYksTerG0/YCqz7jPdXq+QnHXp+O+wKcWiGBD6cePPreqZV0HirqOG/iQ
kYXDBy52mFL0wHg84ybzaBypE1pzNQ3ZsedwmqXbYUXRfXXbMobytcV07ikYnPfeAKzRwPiVfvf+
oMKkScrha6K4YDENlE3K2G012h1lgEmj5+wbOwOTZz1Gg/vVCjNt1VQfalfZdol8p5ndY9COAyiO
+laJr5gU/CU5iKO041ufLyjziR/ZXCumWWHBZFyXQWLvo5RF1mklyMcSKBBtaaxtw1r69OESbWxT
4SN231ts5kjldfbCHeovuAVlwJUU6EAHvXKvNCR769AMNo0eB1eZNG6Ltv2QDDCco969DiSDSxoG
7T1hsI373IS8pu9RU7Exd5JFxey2dApnG2n1e8+r/IUxJM96X7qbXjFuRd5Ch4OejRxegyAiV13v
6MdAIkIItLUbsqUtBQWwriFeKdOVSNN7LGzf52X5rIDgwTSqp1/T3gYeur7UPZke3A2uuclbd22H
HSCOkNFnUnlEdimIrYTBfiabmn4aG9yaT8e+6ubvA1ftjB0re7AuOi07zDedtLJFk2bFOkkkCy6V
U67NMt37QdcfyP39eDM/Z/d+9/0FBgAhJwJhJnDQSum/b9hUiUOFmnivBFiRyeIQW0lxQB4R0ik9
PebixO+WejzlW6C2ilpNSYQJBk/V0Y+KYR+LhyxpzGUbVaAv9V6CiBV/3yCk+Pve/IIlOhsNJD9E
kTrMTNyi8wPWoflhdr0ZqJTWpoZX+vS8O93M9+ab+S/qpvxqxYTYr0/N9+b3+P6er2+nCZ9VUgyJ
2MfllzG2SYm0D0GkenvUsslW4P8Q0pSBpa4fmWRw+ANnHNQte869Q9MejZnTd3PHnLvfP2J67Dew
h3vWrGXiGjnC/6A4VJkD5Xa+Oz/5enP23PyOZ8/5JJazGmbG2fOvD10/AuoWYz9VFEzkYQgfV5ii
PFTTTZCE5UHA5hmX82PTsT6kYvCoinMGX08rTlYAItWCczuf5rTHc4Jonz+y++5DlqT+Op+fU52g
2NWmt3r9x/O9szeskpD9ihNGayPPBXXUf25UpxUHfbqZn4so7K4qB2bf/BXmt0rmMTa/4fe7gW8/
6klhr/thzA+NUuZgzrmH8TiHNpXZtJg0z22NN5WXhrC0uo6r1c4dQLHIGQ4Yc+0DrY7pxY4N0lXz
aQuCkn/9/f587OPJJ7OwIP2rOY0SCyrmMDHRGx3me3YkOBrTTSevE5Gpe300wQaoFJ5Q2kx3g9Lm
MLpg4kpqdJUjH+fLaL5xnJizIKYrClupgfIfmxpNeNZy9Lh0jJyLaEBydZgfzvfU6aHZxqW6nB97
bZywE5VrH0LWzhDFJ8Vzm2MRkVPpeWZI6uodT5PoE9XJ0g55xVSiy+FzXfrbZBj7ew3UGg62925k
ba3K/0hTb3pwFHQSJaH0BghctRGOH68hm3W5KU7YewBDADaRGwILVHqOt2ExsFw2BqlgrWYzhwXs
uoD9tHR1UESmhfk0eiP6Vt003tWj/RVgR7xrAUMYCYp/bXSMgxWrN2WTais8sdxlXXnxXsOwehEk
yt5ForWs7To5dg3d4VpLMUYnk7ktbQq4KBBh/hl2cvAdHMSsQNyqVo+jmqofm7791Op5hJs86N0w
qMA1poirgbElB7vLv3GFn0wW+n3lsS+jqTbcNSqSqaxphlVKAYhcwjtZo4H2bTvYD8pgXnuADGE6
VNjYtNGNbhARahX1uC60C8qCuiwXY8xWU0zDDz/RDBclxtzQViwt893XJ8/+Zn7Vi7D1ev27orY/
VZWLeYDhXc+v4ShmM8tMfza2brMpepD2BSNtdCNx0Kab+eH3G7YlmB0nrPONiXkX25lxmY6lvQ/V
LfSuiWnUgDC1uQKV1nvXqyAD5jciaSq+v2WVqOKQVGO/x4r29TUfQ8JVq4Chnp9D1Iuv9kBlfPqH
zXTz+havD/Pagos2RNmqjsiMEr2G9B8F9RrqYH4QuIrw3HT39SZ143rb2d0+xkqdAZUbdKFyKTDY
uUZoT5i2oNr3515fmO/NN3bldSkoykBsm9xhruDfzjdBMjzpdYwb07+fEjU9yhpx3kJMx2s+LrFw
om3sm0cRqZxD08atBoYcKmFOwXwebMhYxN7TyQ6yAnrqfFef1iU6Gh8BhfXLSgWSON8MTWEc9BAr
xbYa3WU7GWHivlQsKivQD7B79J1L4IRZVXEgLi8O8z1PcIrPnkNq7S71TvfSFSA+GHj8snxafr1u
/slJdcTfKIrX/nhXZFG0xyAH/RZBZDdc69MkrLf8yvlem2XDNlW6XQCk7mDaYtharb5j4xqsKy4N
sPzIjSgt8K3GeUIspu82f8GqAwxY5Aiw5k/v7QGumsCwoFLKQ5wq9d5tPw9x1xw69HhCqPrWnxZI
3Y6wUHHdO2N613peH+MkAEU+Pe4BQI7L2vdwQO3pygVgm4mFE4wDZdKq37vJi5wm//kmlp6Z7Zpp
HaDvu6qPQTwUW0w9YUzy3HxTS8ytK4fDrU0jbP538wuNFTNVpfP6Ec+3TVINqzCbWL7TR3z/q+mN
Xj9x/qz5hf/xObcOWVNe32G+N/+71+deH76+zevXe30uLrlY/YCcWe3EH6Ab/vPO8x87WUfo8f27
v/6bMHXDHXZL69envv+JojtkTSwJrUEY7WEcmvYA6czeiCq51VOu92JwonXD0ssWn0sZyUtxIHkV
FjuT7MlhfhKv+PedlLhhxLG9g/OEuZ1fHIqgiGDcUu5S5yEzj9x5nLze9I57U/mRvqnGWKjY18RG
DDuE7uFD5LL8d6OD90yegSXOqRYs5LQOixiGFdp9vs/8JdSqfeh0G066Cww8osZiK059cHKIsK4L
NdXNtOjATyDZLA9GVkb70MQubal0frzPpgg0GrR3WirR9bJkL6SWyMP8Hqzi+AF3dIBTpUmZl7B3
RCX/jaz1331X/7+w8FZhgcwnOfj/ubBw/VQN6VP+/FNR4fs/+qeoYP2pUoqfeoKRtKPap/b0d1HB
8f5EGQSAi074qa0UPe3fNYWpcEA1QYNWgeoMUB4Vu39qCs6faHuQvtqwihzVUY3/VU3hvKLgTe2V
E1SQ5oqp9kHJ48fSeq42cZWFybgTY9NNOmaqziZLloN5w6BkQFpRphJL/x/Czqu5bWRd178IVcjh
lgCDRCpZwRZvUJZsIaMRG+HXn6fhvWrWnqkz+2I8ChQIAo3ur783obxpKfzkPMW3ZeH5O78lkGFx
fwVY99g1AUkWKdD/dSn/BwD5X4DH33FJTs6zPB8+Bh/zn7pDHFtS3GLJ+NH6kQrcxulAYgjtDNMD
+jyEh1X3ttAysyvatZWn2h1W/38xQ/7OauYkfDhjmHY6QOX/YIbQCNNl66TzaRlaqgcgWLbOLNZL
w0XxYhQCJV1h6x4H098fuaibvSNhXGjf9YJTLONpBxv/GTxlZ+YD23g47dTU5bUcrrbWUKj1nLOW
+v+XKYdCTv8GFynaGXAmPmLgPNxgQKv/vrlUiH4mF28gs9gj2WX8Lr2y2YOCnso4qcJ8dp2QtsTZ
S3M9wgHPiYj1ke76nul8ykErH2EhyHC71mtBjJyed7TRB5gUpo0RIX1oCxtPaegvs5l2t1ngrqS2
vXORLEyLhrNX8zZDmj0NAUndjVT4AIBuoo/4iI/mEpqtn50y2Le79WR4nb2r5tHcw1hZdgsCHuB9
8Fa/+WaiDw9j2ygO7qqy+2hVLrTVsYoqVaBoG+In7NfF3UxMZKxXE70LjaQxQqN736SwXGJAd6e+
scfmOUm0R21OyEESvKasXO5MjZd1QQPYy8wTy6rOffN9qA3N1cNAf5idNvJkdSSAlE3W6hSRgz2s
SzZqZDnqSqpXdxC53PyR5Et60OtIPaYlEKQaEhh7G8My0jnPjWftDfLySAAkjMQqfyS1lxHW1JLU
GdNkkmbyFSQiv5kqSYfEd9KjGY/XZLJ/CJ+OooKm4FYiusWqCFwjsGQYoP+bMsG1K87IdD9L3S4i
K/eLaNESoBzngT/H1M52CJU124nElwVmB5tw14KvluVv9pi0UeZpZJ2QoWEL6+LlZrHr1+axhXhK
ik5J/EPuHuuAFScOIHL0VwPNReo/2DatpLZfjsPUgCeR5eM0RC4VQ1Lt+sb87Xqkxw0aTtgY+eEK
jSp6e0o1qX+h89n1Pm/C45D4jopQRYXjTd97N786dXrf1H6EDdm1gzVitRZt9ip4gdtGYzt1wsaz
+11H0MCS6KeFg9BwTc4T7ausx9RstvLvs1Nct99UBrdJTtNhduxnLK96OsnkVqwQ/eg8krWFLbdM
JSI2VyNpYOpfbZ2osyW337Sk2LduXB4UN6Swa2S+RU34ANfOa3is2zX98prkApv9FX/Jnas5BMCN
gqw9P8AvoMvYjQaETZjQz4kKmjQUSR6TRwetbke74z42GIj1BLfCcIknsNHTlLWOlIT8k0nQs5SN
H22fIMkINRL18mxPNACTgJGadyRY0J7GvJz7vkr7a3Lx/+imi5VPL9NalaFmtLDluXUCSGrtobI1
TEsdPddvE7rheI6w6ySKd0I/EBNLVVujvvOt5rFHG7SH4BoFTnwnM46w+HYNLtvuR6EGhvSSfbDa
GPcmFXSyTpSRM63vuVTRQboKD0rlw5rRs+1nXp9AMVrbo+k5zSFuEc4E2vIg1/INMSHan8n6wDEG
P9NlKQ7sUl47UiWYOX5jf97sm1Ijcm2a3uoFDXCjOQbQEgmGOq7nuWrXCovRCzI1EWFVvWIADHGv
5A+rejl12oC1aB9wS/2WDoiaxoUOD6lHegFKQ17LMIkLOH+/yyRDidvspQn2aGqhaRFdhFpsPiTa
G5YCn6ODxAEPjUvXSsjLRugp9CcY30aDmc3PMVnb7k0zMj5EUF6XVYf95x8FOVxtr/ybRh4S4taD
XZnwBqkLWcxojDvdsD+6iiWiKBdzD0sJKJkIwXzmcc4fJCrRMCeHlcYrj/Z2R/Am0yEVpvt11n47
c/qtm5kjFoKAfJuznsu8CrMTjiIoAhI+XY3RSG2S7jSXHB1Ds2NFmExac48EzEXRbMMUkB9DGczW
BKlEXhfN4nWF9mUrPG0CXLPaZr+9EVUKT/R864yWSf5ulx1LPaPFDlyHaT7JMNx21gZzn0zJt9Xs
s7BeeTRk7+yM4GcOuUy0yY9tiKwTs1mpJ1+9wN2/THV0+QmIoSTiJvsGpcvfeU19DcqOICKj+DJ1
FqCmZ/EYc7xlDZPMdmmUD46DmkMSuNMnJCvM6gZaLvKgLipE8BAXEv4Y+0KSdCMMuKZIq5ZoMMzP
BCe+HcYxyjWwebRiMicwWRJ8Bi6or8/8chjJXLC/9yU+t8Mc32wDM15YvEmM/9LiVI80EuQWC4qw
WPuPQcHJeLRFJCA8b6PICphWINv+tFICBzt/78WsErrJ7WzVAO/x94X2X10W05Dh2KbFzsX/0h9X
BmzH2O5yZjLNFVezDMpwTopDJ913RToNTCaVSk3RolujqoJ3rC81u23H5xz4XVPRJEnazzr1ApTU
pF5izh/fErvkV0zFK4qhzQRRG9SBJHhGnb256p0X0RAhVDxUVn1tWFbhL9L/lPGLxOmZBCv0ymym
JWsDUzLWlz6TPDceYwy8Vtd1R+eS3Mg2j/DGfzDsGhApz38hg2MQN+1rz7WNfasLvZFw+9bh28FM
kK+PV5eA984usHadez3MCM3ZVmwDE6JoDNLfeQpXw+EulrgEsvu2yEV1XukUIJzwq+tWB2gz437W
WSa5JzuSXZnv6/uFGNYw9qDVWfP3oWVRyQtgy6UvvopmfG9s77FytNARGHwJGSJuIWksL77q+YXW
XhvObXzVZgbX4jWqdL5IMYs9Sy3LoHusMAdg58pEZq7VTU2aSUrVAuYfv1h68hOA4bR9EK0h51Fb
wlJjFVp1Cmk8NT5Jb8gCsEE1c64Y9uwyE4yd2WbX9FzcPyWIkRGZ0lYq7xX2cc+wGPwuWho3gLn2
0FgxJpzWgf46WUBT+yyH9S1wYbjbO1IS7q2i3mfI8nc2HpShN5OcAtvuZLtp1PcY+dBOR8YVa3vE
LrjsFHeddb+02i82JRBtSx6VMR6KY+mb58YOeAbt+XtSkpzeqGkVl6+e2oer04nmiqErkyg2ZaF5
7/YCd8cUSZy6Fv0IEtxUMZMP/kwkwU+7pKK+shxOIZ9v0YLKcHtkzQnQMXdapKY8y1rCwWxv+QW+
hFGLzUQKE70KKcQI63S034FN47YY51OxthAnY1XqhvpK68400PEntvYmpvLL81lanYDxIzKNkLrg
i/3GwWmCNOpYgpfa/DF0J29ZCf9DSK7oNiGV8nKkoQjVRrGrhvKl0cr1YC18yFokJ+V21ZvMyhpk
S7KfxGFY7BNZ1ZRFKROoXDJY1QVaRZfIJKBrfVf31Wc/jt/MFo5KC908wnDv3OTOd+UqIq0Vx8L3
Xk3sOFydM18QIT/TpxqnNyiLyO/kV1zy6CBDJ+J2HlG5Miel5vAwUOgRHJ5++er9K1kgfEGzr0/T
vnSrx7Err3lePzYaeewZzgOxUs5v66h4HJJUP3n44dpucQVo86NasA5p3XBb5alGTgKIezXa54W0
Zt2e9UNiMFZ7q0LJICgRC3Hdhl8gienttagScu+u7c9qJWIRmBO9LsNI1XNirh63Migz38sJcsE2
GeeG/7LVINskDq+JOJFcf4qtgT8rDOqeooOni+cLt3IcgUI7cplr9Fw7q/Zfmip7nOv+mjfsasyj
9Ob7OX21GiNKVsqMIGF1hkBD+kRffG61r+dilxhrrOGWdq4kNXijTBmYD8hJysovLD54uim4y754
D9je0OunhHT1+DYbs6/MKK6wAZgv3Yq0Y5tkXFAu+9ZYukd/jQ8CXlhY++y087yHOl1g3qdK1FVN
/2uBrRrcAULLVLXhow/yjPdYMgV0nTylvXMtKhZSe3Gfy6B4qnOutczKq9fbRD51Iea87N0NOBv+
y5gFL3NtMUcO7nlYnOu2Oq4aG1fTHe+rKbttKcHZUGRDlDuPtl1es56qRnjrLwqUyFNVfFnFL5Cq
KQb57POUXoJEPkpVNwQV6ZcJEQ2+yL+oEtmGsO45dpHuFj4QHm28phAXOh8UAe2l68HCVPGfZM5P
s/49ZkwSq3DxuyQ1UsGXv7exv7HwshigaXtFqbp0XhzKkSqmHvvniqgCr1brS7FStGQ/VL0AvPlS
+my6ZUY9DNBCKh7Xxp/WuwxXuJ0zyw8xXIuWBXO7zWv6VIxwz4M8WfH4TR8Twz8hW71MKXNPO9ZX
s+dc4XYdM+gPR1Qf2Jv1n4gcVD46k3X+pbZIkNTUhPY8rcx22zhW63Br2yd94bSqkbK9qB7l5F8m
42nRCazyc0qkxRx/U2peEXCMhx41ReWUX4OFWl3KZb90ap87wbvLEiJr2PLdZtr8bSIAATn1pdGr
7A5631lruBG28A+gTNpJ09p3K3NeB93/mQbBvVeKx9Ll+RJGT0qzW/6qHU8eYXoXh4dCZ4pp5QvE
r4ZJaZJklmpq84fpBIuNMPUwhvE3RaYz7OcVUrPp1YruErqIWaKtqFQ9AKNnuy4cFJk2ma3bplMk
BxcmN2UeBaHRZFBh4h+eWC6j1Ujc7ygtUD2/uiyQO6geM/svFskV2ZWoBLmsthWK1qQFnxmXsQmI
+I1xEWwNLTiliQW3NfiSCkcrpjLKC6c4BB8mTJhjLHlqxiQ+zFLHKGKsLyzWl8SnEuvX8sZURgRB
t/KwOy6hZfWM2AKtgt5xk9Q49zx508qcOCyXjF0EJ88bNuqoVvLgQZCgYBZxJFSrV9+6vrNqAOeq
FRyopnCh2sPTY12mQt/LyjcOAVZ/f2Gw21cbOPsHrJ3M1dg1qhHN1CBww0lCG27UCXow7epWvlrq
rbeTiE2KFXhegBnbD8cYXyThGdneVJ3mUmYPsNTdg66a5JJC7NZTjfPEooX+B3LeIOjtH51ee6aa
7n/96M9LMHahP28q2GH7lbb173UzYwdMS79Qzf2//mb76q8X//ULqSCIv2Dv7dvtt3/9LNiO/NcP
/3rN//dnfztqpmAPqQCQP+debYiI3DCSv95nO71egSmDglW2X2z/xGAuqQJfjA2H2Q6Okk2hMwpK
2f4pgl8iyOYbS7TLraEjOLZcjUxBvbKxfOrQ0Icbp8GSU9wTGfkf9kTiuU9j47eHP2SOuDePUzkf
26Eeb/X0Og7ecOBaTlAvCMCd+3gOy7R0b0dyv1D3+YN7y3k7t9sPt3/alowcK8m1nZNYJCvSSGIX
V6Df72fvNilz/3b7iunUu80a0n7nwcCRC1y4ie2DWIDstK4xb1MaMrfxIp9MuNIHzWWHibbis2D9
bWI2HDeJDMJ+Htl9edXeNWApGJB08GTKjzy30EN0tiLQTomexk5ZBDhopwhiXPimJGI1OBYE9mup
ucGvcdnni3WLMTVJyOhAwwTesWHi3e3AyNrbeXYnBVv5m8Aht9rX4+LYmkiOY4zMTCyaDwHeAUN6
7yiCaFqTNsqFvOVZtXjoMwqInl2nJAynkE+NxP/F6Ot7zQeAq7vgPtYJR8xeEz25nUo08MiT8O6Y
fBBdY41PGE0fFi2FWThdsj7DnMFzP/u4eGws291B5h/DQa5saUranUVSh6OzUofHyQP8+CdrTB5X
DY8HTZDLPJrPo18A/JdZwkLn1wcil36bi/3p154dai3J3HKqfgX9iOlAO3y2eFXMct7PbWlTITZH
kQ2PTj7e941BFVzNFyxr2K64TLytM+F2b/s3wAR39TBFsicbrramOZrGX6WxyG9931t7y8YFuqm8
vSL60YT0b/3SO4nYKG9mZ8KdBb5/V1riYa68lqmaCnBJvFPVZTBDGwwQK6Xjc4nNRJxT0NuBBWl2
6be5cl2KlsI+607nE36BQU5ij+MuRUEQTv6zo4RrAaaQZooqr5YWkc5UoBmpOJBECBfHpIGeb7Xc
y0ozTl6+QE4lq6MlMSa0IcA7fvLetjhc2708B8EgQiGt5QaxfdQ3eE7QvSXmXF4Nu4vpwMhoCp5N
6P7Y9phnc5IGfdvp0gyWjxjRJ7q0bk+NhTlQ5bLJbOLhF2fAfsWIg2NhNTi2EC0O54vgd3KqaWn4
GOMcbT3FrRe70yTtBk4j31cZqS9Jhh42MMV9sXoXOUSoOqnw8U2hH6eHOSmzUh+cG2QVkSXJERz7
5pOt4SlpzCvUr/FYUIkhPNP3Y1w0bGPoIeYdb9Vme9qp6QHB5TnVff9e0rtmAEEd6XS8VtsM0ow8
Oe4aeZOwD04PZWN0jKvvlAk8dPtBn+JD3WsEs/YG+dHW9OYO6SNthFc39o+jxWQBG/tRuMFdZXgv
cUxLpPMxezOyh16blhet1z/YuNJSUTIKTXw30hGlvjc+Nv1ML8uYwtJuSDjPJPSfoMXwPz8ZKDV2
62KNKjXg3huCnIhvTPeGbkIeB9wtrQ9aQx/pmt9JwzprJa6xWX3v3ttpPh46yPP3xpSxGKOB6uOL
VuIP70IgrGftqa+Kn8aI8W3fJwxbKI2ucV/PGH8MLu2qxJ0IKtXRtFCXn7rW+77MXvlgOv5Bdedq
d+1vWtH+roKKpEgqo9VcLkVNF6EinjtWLoxwXrpojd3Hzmq6U4vr4mKmL0NT3QX5nMMeUL3HwHiY
pLzbqADYKh2trOhCGt88qCg4nNyH7ZPs1xgdzQhXW5EHw17a4Upv4SZ1IPwVOlTmMk/vzAlG4axl
N0NVPE5DgXwA+8y9IFbg/IRow3nWMnZnuSsPcUrq1oA94phgAD8s7ptjO69zTd40uxfRy702Ephk
Tm/wqh6p5KJAwtvNHGfZ1f5xzfqf8XrnVPkLTvxHprqXbJpChKlhJrAuAtwLcTL/Pkj6va1zGqAH
BlLcAjCT0qTBu4Y9VogEM2CrfW6ID22AguLlhMvFAVUWCAd7RBXTkWZmaDaSnBA3Wk3vUY/Z4hQs
Yr4zP5V9+mkRuJ7F4n7BjsMflx185xKmLz48ZVQYWQjH6jiRwaPb42eezvQmWmGGQxVcxtb5gGcK
GkaHkdY6SIkWDcUelOx+7c27RjQvg2tcSYV6ANtyd/1wE8vqA33wyVFD2kjyw0X6WnoZhLXXMD+a
EtJaZXUZGsFqiQV0uZ8xhsya7oFspLu0LV4WjWkjEOIul5EtzY/UpAw22+5U68bblJhPntseEsjo
Dt5GtLWcdmcblOWYn9zPfXsu8gQcYCS5Eqiea151OAiu5g9jbh6NMrmY2fSA9ATrDY9G+yrMW2EP
UVZWT55eXrqEWm1gic3DJC/gZRk1wqSUNpWdr1Ffet8s9lw7yXNZrvMuS2eCTrs3dDHnin5Ebdtv
6taoQxFqeGqVqTudMbO7y/0fNsl37NgRfHfyPfbdz7n1XrB6DhDAzrP3WnI7xrl5X3iGJvyAfIPI
wfTDwTEMkm0Ulw6IF6xIo/RuktW9bTTIRMYYGUVp0nOZ7ujB72w86NBycKDhRpuv80L0rUXrtPTb
PQEtEW6AP+mnfFu+LUnJnlHP7YiOpx2T6lvi8JOuwTetAqFgWhqOZdmyVT2vWr1GExeelKo3N/Oe
er/6Wa/J7SAefZo6JSIWJ2+vWo5rqJVqP3tmsiGns0TKFAHa0PfwRClRRWG6dTfM5mXSCtbAHLcH
oy2+zc7ym57Yd0qVCCL0Z5ed/ZxhWLNchfQPbrATItO0Os8VqlicdPSgP69rGx9co5DsbP2nhQYH
wqGUHfZ0GpGk7OsiR15meI/2UuvhyFaSpmh1iYnVoTvinF3aa4r+pPEwT/Z5yH1c48p76uokWtx+
hU4VX4mZ+d3MhLUOfRB2RuJGurFvK805z4t+ypua2aAeFMrURIM/f/RF++H2rPpQH0eMqYFYHZrK
zYXsv71Bl9tHlpziBTr301cqUf5jChD2DuqWuEZ2VDjJ+6Qx1lSia5xSHqCi2k8aZkyV76yRPg5k
33lpv+N23Ghe/mohoNu1lXmsZpvtRVo3kTazpaoI6rMnyzu7Bp3jXPtGh/vJ1SwrzEsWeli5UWkW
3PllujVy49tCkaQ6L0UE/4GGMttB/KiQREynXCOFeS7sI7Pfp2HEb06iZcehke8j1ukH+kvzrpvH
qwBATWduafYoxPquzzWi+po1nczIiz2RnqyxYtv2UYM4L03GyJRX38eAxmmBA8WhziY4v7TbWFzv
zMVizE/j+5Kmh1EvAbVEm4YrxIewzrTXpLS5JmX7qsnlzoUsX+kD4VTevFtWqO/DNJ5z04EFaBLr
bT4UMX0TT0czhhPIHhgk26Fc/woC+iqRA9a1E3760jrB41T5rzY9Oav4sFfqa2o916MrtVTshYsq
e8qJHppi+4Si7l2OD8g0HN/4aFeQV/5b4EVQr4fjZILATQfXwQ8T9B3D1+mANcgOjJeuWIscCFEy
bVh7p0/FXv2Zz9pt/s/vstkMbcr7jqQRVjnA5yrsGSA6b+FyeHW0DAOxtkGTkv7skO//50/NtGE2
giyiXhKAXc34mvB2wglO6hBjDc4Zx+HijfuFw1HJq29Nq46s7HUlXInjJi2kS/6vXhzzHmPqe5Dq
C2ZCzmq2any7xjArXnyka4LGHL2zoC4OBgtSk7pRw9cWou3ta/U7/mvgwAaMHGzyd9vPKVKNFnUk
pHdb/5hOndB2lpVu/0c0cWJXAR3n2KF/CbQEG2dyhnlJg5JLfa0ex4D3yuvgrpMYyAiMYEheQT0y
hgYdOznoX+rEasJegChp82bTU5Ob9ObkYeAvsEcL+FZWAS2cmgfn2NgO9pYmpjAqbL25TUUdqXN1
+rbcr1V8tbAcUW/edOMeq6/QALi2CqLVh4e5rSN1OHVe6m019XHwbtw+O8donWPCbkv9derrDx1I
tlHRMeGl3RSH6vKoj6cu4X8+asBZmTPVHH2zdmUzgZVcBrAmZnvP/H1oc0YbP+tBwBavitTX6jUC
vF93P3S2Lbagm8FL++LPy4kgOupZHMYcrghiRMlDaNDHokPRpt5B/Sjh16L3T+olGCYic2KHgl2S
bZSf6lC6Ru/a4Gxoui9d9zGJ+lEdUr0mEPfl+qBeoc6pFr/T+/+cVMIP1QknwrlRb8Vb3E0yZ6Ze
93lvbG+nDudOI8YDcEHJpc2Xb8F6IkCT6iXfu7W4VB1myoBYvgp0MmksdkRFDRaoHnkTu3rs4Bib
IB2JlX3hr/Ni8VTlk2bsVs1tjmmiayz3y+MG4DdD/sVy+6LNDNfKaXFgrl6SnMgcvdJPI4g5XFng
4FxnLNGL1muGIp4rd3kcz0foCF9N0J/mGTSbfIYMkSHKvclpT06H10ubX9rkZ05Dj8XGfGK38FHJ
uQJw9x42GoTdMlBldc8iSbNMgSJ2+2KLHqVh5fV4FSHoQp9c3+AQmJpVemMl9TM02Jd49WHr4Hvd
UuPQbihveyGf1H8oM819o2hiigrWQxoysd09yIPh9SBYLCKkkZKuFktxyJRmj4z3zlm+D3GHKtih
Ra1ndL5XKjbMxsy91Xmv1pq/W7Xnh27bEUqhPEhYIZrr4gzPRUI9tDo02V2EVJG1sGbYkm2cfuPN
tXOzqAWry5U5cUvTGAI5c1eiv2ztbh/xP09Jhig56qrqQjIeWJVCYGjYlShOwGMy67RodnYKOpGG
9FgZ3jSFl2p5HEYUE3kp7hLyjHaugsz0AQZFXxefdpf1e3waz4E5cf71b+ELwFqrfIc/sUciTcUE
uH8zdcZJrwCQzAz9gR7v4fZ/rxHMEoBXIJ0nCrez7MNqALQM/ijQn+nPeMKBkpnlNRYjIGRb4w4C
SCGSmPA9i73OBk5SO58QkACAIDDE8pECfIit4xoPILElyzAOxpi6LUfLFfXBnOVZb0r7pun0cxfQ
jFimzAonBWY6prhsLfzyphKc5sa8ElDFdnozwf+Th2zGQkuP6WUbCoaeDHhvpXhOYorUbaD7Honn
Y+3uOyNw9uScjoeKncziyexY94B+ddX0VFjgzqMa8o1GhPo6OfnBaS/u4lhIGbiro/RJG6Bu1Hz/
VDvLdIdTTQSs4jzoHnIr7W2N58/MX419FuSH7a3bGf6FW2jZfjbrNJR2Ut/o1NdOrUxpbUgksyXu
f7EVVPtKDx4jDys0N0UHq+u7fM2mqE+wD84YF5PuvpWz34XNRON0LJ2DDKhb1uwhRnZ5hJyLEC93
QsQcPIlj+mIpZsbEHJ3jQzRrGPHCZDjWWEJXNa3mdPI0xAXxrWWbSNvlTTlyb7PvTiz8XUt3w4XW
e6iNtD5O8ycVp8BzfMEGvBbngdCJeDZ/6AbgRDqVF/aBTrjMa3EYp/rRSsUneHe6g3kTIC5E4hC3
j2OfXgw3//LLuyCgNGrLzsbJia6zehbikbGtVfMrXJcxbFzmAANjZzj3lGX6cAmMG5yxzP2cwt6q
iIYkCQWWxQanKkBxY0lVgvOhyCMMOLu6k3WHSOibV0IRGSbKoyGnGuwZSrRt0iDVEU9QGtmoW0Ig
qDP5gLejjzcQcNEGGiAOBU0BvC+U1Q9OgiBIfKfb4tFZnW8VDELAHoAbHuCxMe+H0XpzcjZwtXbU
gRwLKS7SReVtzAc9d8F8prE4xB6IgBjr3SAORYyKZKSBixfPusKLqy2qMvUmE0h0HRvfy0Zc+9J5
LlJ4QIrlxdJB9QhYtg413SEe4EplKZZ+eYgr/bfCzzZiziqZh3nTs2PBm6BXfJcsMTgtezQ7xTI1
u7D3oIuk9rkoBtAHS//c5sUVKQZKKMZCHaTv2pSSmgyobY65dygnj+d5xnt51CMnZsEf1mC89AM7
UH3+nib9e6raQI6EyZOlTrfzFUcGEsqLsdIjqvmE3dzM7EmsIszThCU7gViJVfMvCGIWoCpWgQkt
Mg1hZUgF7kduN50mJJoEbJbBpcIKoHHMi13Ib9gkZrQOGSCu5ENkmx9TXFNGVN1etKLf+8J6bvqg
vQVkizKltXcNmB4id8obbFIeLOFcc9f8bMb+Q8/BkK2VGqAmNDuT3ILAZn+RoMT1/sCMGAPdprHZ
QarDjwdOz6Acb5MdaVRcSAUzjR27B3tE7wImVQHOdUn/VszBMSdTJ+w8MG1v+CLl/uUPeWrqf9bN
lzY9EYBa2+O5wHRuv0F+ZeberaZxqytaZ6+YngTRRENm0DdpJISavoM0ktRXhdgRCQ8DB/Bmv2AD
okBB12/eenN6LoyAZg37DbkwemkE4wXYuE+Mm281ylJdwzNrw86QHO8aEfzAU+PHNDMBiRzssw1S
JmGjSTCUyo//zqre3Jz+20RGsYINRKFQq3H0h3f+v1nBncmDBgd2wL8IDsWCmQqgKMiv7+d1xAr6
vEIOPVU9bURbw3FkDcKNu4DcttnXGqi7okfpAxPfzMKuuEptxmgQnXjUFJPRSyiLYsTX23dOPKvh
Xl65Ju0tLi8kmQ7u3WKxw0HEkZcj+zcJHBkoAK8d21s2oN/WhOv27x/c+Sed/M/HtjziVD0vUC5Q
/2UjB41LVE3eDie2aaeSiWNejbvAgzyqsTQTPo9G8ksssx+R0eAgBjQsjBIU50LkPBDs5GAFUK4I
+HeLovmkMAH2IEtfFCE/214VYGvw4bcSwol/GB2u3raK0mALCwgFsmRZM9PqWXYxDwIU5FjLvlTZ
lKpxio8yc4LF/fjDtVcEh7qmFRS3yyNV1vvUMWOrGa5ySV+HWnnj6212KtJz87vN1odOI/Hx3y+a
9XdjLjVa+KCm5fqEJAV/v2i+5xee1Kz+pGUWBLgmfsFR4URUDHOZwnLn7nkwgcU2MuVGjwB1ucH8
50VTSwsblosnApc5SHuVtXaftOZhI8dstCbsN1g+3UWwjSvPxdBz5VyGUKqnT7RJ3/+w2WzrVZrg
uCtbJEVuSKbstBbd0yBnFtX0phP4GtCUVk/gv398759jxnKYNFBh+DAZ/2E6nIxtYQZZ0p90vTcP
WRlpsY+GCMsferkJ+BbePRuZXjdJl+v97LyR9DSLW5lVigSu2OTxEj84pMZarbdn8jutLlNdJW/6
BorlVjDMLXnaMA2EWlQSu7ouPlemxvGkRm8YegbtFjgQzD8abuETGFGw/qEOOXkKZY5tRdnoeCBP
/X7yEKYlGCgk+QzDo5xPno6f8LpsPKR8sttbp29uXB+naFetbXZKzJyT2biM8Ln8RDahUQIDWbSP
Mrbgx6CD/Vlc9RjuUbK8FlATcAMiV1atrsBVDQV50cIn546beRDB46YBZt+0MLGif78jmGD93a0t
0EkiR7RiIczA/lv/mx2kg6VfUy6k1+eCyClJsXoc/HyOTCzqqnq6d1eXhLTBYyltx1tX+R91Mv1i
TW6IdcWlI3ldFKeuUTyruq3P+M7dkeniEh7EH2m4gXQmm/8a/OrPpNQbNzZJQ71s871mmD/1af3l
ZckV7tkB85QX1I1ffsHEUWnPND5YUDsTDAVWWdG5mG8J7y63xyveXc1+aXEU0d33VvE4CfLI9ppE
dJ4u5b7ytNd4SDF/b8bpIfDm/bAOZ60d9EMhTdKlaudcG5NzdqC7FgVisg6YJOXQF4kbRhxIZPdO
bdzEkxllVfvQ06s7EddWUHj1+DyLXodNDnc2aibajaVe7ZnaEG+Iq+Lge61Ls5MJTzHDNjqbNcBA
d6xfasbvSmokVaS5XflVBslh8JmbHJsqcGNSbb83KeSQVD7pMvmqqxJDFQz1zP7XVlAmVfPoaiCY
XT1iUK+eDEXc6jznZY27i9oXJ032w8u7m0DEr8yUV7U1ZRdthYvqDaXl8GMKnB+x3kSFM0LplTHS
kaA70oa8tCsVV6BRI6w4i+Er/a6IQVT8oY3P6QEO45ct56e2qs6mnrpsEuHQZ5vBVPBrqZO3pCtP
G1N1SH+KZPzAJ4VjpewhsKL0aiQRTlWRumFre1kwUtYUxE4fxV4r2Ilm/4+981puHMnW9RNhAt7c
0oAUSXmJVaUbhKokwZuEB55+f5k1Z0d3T0dPnHN9LmampoxAAsjMtf71G1FdWtd7yTUYvJLVJSvO
ruhMSQYpcNkqLn6R3Pixg8fmb37bIPuOamTR6eVAH9mKYwqH1AdEwIgAqIe93k4YO+X4stm4DW3N
riTGtzHh3iN1Hwz4/KLD1kq2wlSy+w5iZNgN1iO5aN8juQt5KxfXe3FNhfldLfCkbZKdU82PSTbC
AGhiBDDCfGgy4qyQIRrMVSRd28F4s/3mx9ODY2HRYNL3bJwpwymg3foaeVHkmNA8B7RFhPM+zaJ+
atL6YZG6iZ5Rck97HHQc/nqETj21oxcN8HwXGQZCcbxRVNvdawAnowEUsFLeG5L+WGv8w2y+SdLp
MsTvIP2apl7bJDkbRsvpwcwIV6EzLhEFbHgrPbfcZHttIElU1fepXPfCR8iWTwyumYy/DnltnAfo
aY5GdMyUpw+ZOd0siz8dazMA6PFIMJhWEswRpAFZEFBSVyPniR44B3tNHhx6yxu8WzBKiXQGgP50
QVX708mxy8oJAiTT44IN0EuzImLpvVefLBNmMKWOMADEKYXvqSfSNaLpgbcqANk+tcMqwYtgMq1x
T4dO9DzCimEoDm6vOYz/BxwLAgxpTKunU7UZ3PUNxB5ImtXR65y9Igb1yHqw2ct4EvvZSaITrLKT
lTcixALptK44J7Wzbm1mbb01Qc0PyahBZKmqm7JfzNMarLdJZed7JDAP2mA0/Lhm3ZZrfljtVYfQ
9b3BjYjDW8Th5HRfs8nvOhoYQ20aODUluXXyvO7fv2JsaJBve9JM/XE1CNiDvnZsdMvcJa714gb1
egr660SsHfgSVJRpEdinqF/2DIOGPj3UST7DVxTa2SQYD8rDfBTRqp1TvChO7fql/k8nf0f9CkUd
Q9DWhmZbLQTO+pYDAdC/XSGvH20bLx+cp7KDX1nfUhHklzmeCQ1YcZczSofR1KKfSZG6Heh/jvW0
3sV4XhyLrDBQjgzQzQtB3rZGEnc94scGjOick9F8gETnHNSnVJ/C8rDmrqzuq47gsER11UJ+SBmp
+IuxjWhDt/VkOcR5jge8DpIbtyiY74j8UkRZsHVSLqfX6bnSddJxCoBzg+Hh3jLg8XYwBM9+eRUD
9DrTiW9yr3XPjSxCsNyDTzdj0orY7NGO+/44Of7BM4BUcupOBi3zFYPZcE2X3WyaH9aU5ftsMNsz
hhLteU4MPLXWMiznejgnzTzg7VrGIQF8+3wejRuMFxnmgBKeJ9P2tlnM2JC9+DmK/WuejikiOx06
Cx5bIyZLmE1jsGtl52l5xC3krupYLklgPJgarQWICfxBrcuO83NcrcbJT08YPfwa1rgCGMLkHJLT
eOgQMsfD0h/00qVLFmLtTo4UTA+RtRlXhijbDDm0MuCBYJ/dZHUE9xjlAhihVEbTFuaITE4+OzUH
T+bt1M+IofISF4PHgenh/1OkyV0KQ5xiBQiUZiwlkIBhXGecFAM471Ci1HUPMwsnsbaLgdU9ZOqS
HFn3PQhwPn7FJLhKQtxF7VqV1GZAr/4oEvfVLtdXVV2Q5VTvmJMdJkzctnHffR8x9gh9xn0wuYs3
HyfzfJ37nS71DA7xotBKyNWM9ooaXcxzekgQVC0OCRtt/nOJ47OiZ1dm4W49CmnGdS2LEdHa5Gp3
8KNC9SkVYVpCRGtUPszJDlLjyUiMO8PGFYyhynYdAsZf3Yuqk9qF42OKywPGRAn1bNBuNYIVJdnZ
APDeOtX6KI9PxSFH/AKrv2Xv51sQz5U9rRHob9nlb5OkBuvQzinT25dVlG+SDyvZ564FAx1hE6PE
edchCUgRQUY1/l0SNZ/iZcepTynt8pOaCWoORsRdRHXZI0K0cuZwjdjmojhl4IqbYeA6PdTnXEA6
0wZBa8XvKJHMGjf65k1x+8eEzt1LQ68AIyhznMGG6WXtMeeqSqJuUiu5xSKzDvUuVJotRRAmgqbE
CYNedIRnv/fwTJVEyi/MZOCUdOCcpUV/K+bVx4u4PBk9yteslhrUwDzOmrhr9eAldlZmleYD3S3a
EHd6cWDulkX6tYqCtcoIatBecFAExcZMMGyXNxzhcXLQxd5cxIPw7GO1uAhNnKNqoD3JNh467x62
xP2EwVI4drC4eq+9KRSaJvWAgYazY/ugS6voMl6QRODCMuBaETQ7fPieCwloNlJdo2XgMTp5ZFMy
ULRYF8eEN0WnP3YoX/jfdAKrXLwqIj5o3ma6yEOBxzeo8cmKrJyBDCqqOPock4m6WL4Ra2KBRVJG
bjKzuaOInjYKbJkj+hNvLL55GMuTsPgdadpNzHwFXTF+ino2oSTiQ3c35QBdxZ6pnqqYuogwsp01
rHjBlOVbp2lhV2jf1AViJ4LQw/5gVXOP/VP3IkU7NvsDu634JmtPhR9EBCT0wol3sj7vRPucM7pG
JEPtWwLaZBltfaLVF8y+iNuevKdise6E1t+mHgs9amE64/PzopNoNjbMb92AWxfoDcKZjOBFl0gJ
Ppo+OC+TQ1hLPH/Tyebcmx63o594PIQyYRu68BcN0Gdc+7wPwC34/JMUgWHDwhNyP/0xqPejmwaX
XkpRcYnk4rrFR7OZ06kWUeNHBF5y64/xhxbf1mjOQatfdSv6arQ1hzeZH2rkO7vZq6nJp/Vhqvis
EXGVTI8w4bTH+p506R27D1KXudinWvzTqLiHskrlwN7j1Pq2TuLtWC/BD70svwwTsYBct72RPLoY
Vo9985lH+Y0hAZAS5Bddr36TL+3HCHJqyc84U/823oDdNc7CfMQA5lBF91GudXRa2+amtEzoYoQ8
0mgcJ42lE0S2s9M0nIxGC3HjIOyDk8DWtebsSyEiPkyHWIsIdQII3NkM3dVvawkpM6Px7Of+uz8H
d2BQe1kvJeOw10cf804JVSnpUB2/VY6NQnIge61bz7lUv//ey2Ie9FRnb8Gcv/tx8klykgCNblBS
DxVhvGSkzka4JHTykMTZDjt0EwvTUGuiqLYODa5SoFv0QB3m5NtReKEUrch+XLYkzkJ7TU3GRfJk
K+DPLPVCqyD19Zn1TjABgkGp8FD9UZNwascJHrd1X2y8MXhRwimlwDDkSyUW7bUyoSYhp1YAnMKt
TVk1ex2ilH5CfYOhArzSGMkvhV8pcWZ7qvKtxULNASKx/TSQ2eckkclXUelzdHSOGLcA+XsjVFrZ
ddhYz6YdsU43retQ91LZj4Zmo31+dIO7Ye0PZW0SlQL35CbtDMhYrs8UJy3wK0kqjpbXAfvQZHTO
GR7Hhm06W6vzCDkkKGdrQ/xHpKvdjav71DdVtCWVgxlPP4J6W78Wucvm9KBTj8uR1kI8p19DT+Y2
LKLqaM9hk0Bp1VPX2+MFa/Y8RaWI1dOFk6gK9shp54L0DqOi0S8xvtqqj2Bn7LhTJH7YiY4+ncWt
zfZ9N1ecruxIWUmzKGxU+x4Ard5RHOSTvRfR8mAsBgQMVBdk51U3VqPjdLogJEKscVIC0Sk+2s5A
a9TvkHpq1b0acKom1xzR7VnehUR15uyg721Z/7B6LYzr9a6bWKhKdRt5zCsdMQ+h9XMI5pdA6+Zd
byNQS+fKvsl08p1y96NGBhH2pXdpyKNnoAaQ3yy6dVNjLl8nYA86DmdxdFQ2HcugYaNkX0nt1LF8
GhGWSMTHiW00f51fXcCmT16A9mBmC22X6avONfifHvbb+BBsi+IhS2EJkckOesCyUZplpTxJVnHD
jvYS2OKHGrktC2ed3y8/1sC4ZPr6OJZrtoEKDzAW5JKlUO1EkP1QijcFOcfJ8NOL1vsZ3vZUey+9
mK9kX+293H2ZovG2rZ2DL/vXAagC1hiaLenrEJG1vS+lykuOm12BWJYPr/pJTcevYdLibJPUOZBP
WkM4FxsUB8Hvky9r2oduYHrMNDOUCkS1unJrCW3Rnf3KhLqUv9oxX6XOxE0wwKGL+k0hyzvRsz2r
JVfKiYwaashB0TD+JHyqBgHXxYF0qcKmd+95uazsIXX0j2pgXWpaEo4uO2dQ4nYgkWPfg+uqk1Kn
jmQ/j39qWQ1Vmbv8eyRttNMGSpQrbcuGVbtEmiMz1tiV5TOEasGsPgN0bhnmt017M3jMJjrvhUET
J4uskWqdnWnwkcvBv76Z5zLDBI4sH137HO3xex9Nj8BhDBxybNsxYXdZHg0AhnobtDZt9mpdKAxB
Y8DCyIcfCD5JqJL3JGtmSJv5Tk0u1ACrd94jv39WWiJMw2J8z8TGWTOSZ3wcjRHgXJNZg9IQ4Z5M
PQz2yGclgAIhfIEJ8yJ5FDkQlChwtNATHMMUiNlTFShQdV4vsXwhm4HeWdbSg4WfAj3ojdZWDwF+
yLAOq4tRsPl21ExprMF4gO1NITQfLXni+VA+kXIXD7Ies4g3LLGukXpBvCEk9iUrLYPSU93lLLG/
TdSdPg7qOyXxMl691c34lDpzyU7jFMOhjmrHiIbzYsdfctaXJvBTVnHXjNlB/SxHTnXXhklq1ooX
Gv+vSkMSTUzIyefJb5WwWEbYyF0f2I58ifSgMKAZ1onCm+fYgHDKTEJOXeCfYc5MtccEtwkztIdi
6tdQjjChmjHz8nksZfuAvPl7R3O7iuAV6QODC7AMGPXmbV4k39UaEoYxhd7cIljx6n1cL3u/R2Ei
PWqkJM6diXnCIfJBCWl9KcCXal5P+ygAKTY4ux3QllBmyJXpj8UbwJG+0gernWJgoG0s8z6nUJrx
CedmXNWIYy0xJWjc5yV5HT6dhYiq2ebsibw7dDlvFS31JgC6wJ+B8VJVfFle9ZaW00OKdZ2Lia2a
f5PvKyy4x0o/qfkcqmbDyVl21WWRZgKll1dhMx9s9AC1Td8gX9YlpbbvJTolyxZmZKl0Bg2VqlDW
c6m0QrBK5K9So6hoI45VhoWdARkLhtrQp1BrakfLw/0YVdC+SiNg44y3Vi4sxj4nZ7YfyY9pIH4s
U2gjdp4am7yx+ksRBqDYo16usOW14n731raaAaO8fEjXgQIldt/QwhCrWb6x033XgyWU7UwqtbV2
Vz4kHtWxHH7LXS9rhj1s/4rmKLY201x8SAxyGqghlYKb8+Ma46WDkwPvtZ8jDdbR+sg6vQH6HdCJ
rpFzM+EPuFVfIRkx2A+qFXvsxIUX/qwmGJV8N2cf+3fpOZIjs+aMhP3bx8caT4C80Ydt7phvxMox
FGddpTV4uk8C6qwxOBO4F/Hn+DXQhjQmetW401zIwGhabNTmtBAELRjiaSlcHM7pW3HU3C1Bgz52
cDajhpCY10IVKyihHqrKR0ebfMk7Kq+WWC0dmVR0dKb+G5MubXPH9KzZOE5+qUCQV6cqQgXz6zSm
xq5qy4+hSG9l5bTmlGjUtmGRpaiKK94dxipX3QCGIcYVXsmEvff6TQwIcD2ADlcWEo5pk0gRr2e1
Z3RSl55lEJpy9JMbdCznqJ1DYPE9H5dGj2H6b1k8lc08eLTOPliugcNS6wKT1riJbqk2cJkf6Xbj
EvN+XOUIwtgr54iy7T91Bh4aNiZbc2QjKb+gjgLuRvhcGwF4Ch2YLQW3Tj/u4JIR3YO1F2yM8Zeb
ZQf5uqs9Mc9SLjdkoZqHuDqq/8JjpEQJpspMPfGh8ju//Ho4rUN5yWxCHH2/ik7MNLeT0Fy8HLW9
sizAljWkj7pTVgU4e5bbZAHlrR3EUiU1pFo/ieUh4ADm3ZRkmOzbNb7I2sv2mIc28Xo3T3m07dIW
Fp/3uogOY2n/VYEJCsfQuoX01tF8VuYYbbHAts072J7ogcacbdQPEnpoyzslBFJaCW8OGdUH0gPj
sHtZbY7uPEeZVfoDco2vxcYAKdeQngrHeU6YgG8qbT3OPe9AVXGw68FohHV+HKTNS+nVt9pg40Hi
Lu/+9KlU6pHIoZeQxbEOYDU+TarTpJcEpa7vjxwFK7quYMKFXRIDejoiYPhmW4wsojoChkzYh6xI
cFynJK2Vp8QYmKNVOzl91z3Qx5Fyd56aa8+WLJGVsgaPMZqjoDPyAkh/kIe/VAPdr92zZQ3XcZrt
rcnzyUn+PSiPpYhxicbUdsI0n4AWkhYE5NuJBoNg8M+8qW+WQqcEdNeN7UmqrwTqYZf9wPv03UzY
IpjOjdtp1dnroGyZHuQMDZEOXvh2A5FrKtxziiM4lDr7sZSMj2Ia7wSBBMxr0jvbh4PVrvDgSkme
wo1XrxxWJeDsfuRoiRfXxtIS9E2Aku50EvIU5aInwW7jOvHFpUjZioD9OFo/PQpbuDmoXioPl/Hf
U9e1/F4K1BhOiwtQ6/HzZpK6WKEQu8jAUOShxIVLt8S0px2ZZ2SHFd9nx1Ishs4Y3zNSYoaUj+y1
b5bJQNaBkruVJ7mciSnnndRlACIcfqhGEptm63sFoPCoBVXJN2WukubiFlPmZ3luCjjoAPfDGYcq
ZOSyhc+YDnkGy7yLi1/18E1toWo/q7K31KUpsBq4lPa3IkgPmGhPlFozGclte+sxew1p89+0xNkb
ZfOYiE9cdd8bwVzdz3hmhUnJlsKq284eAkwrv3TkTKkxnrIKoRhvNrj5gb++ye6uioOjn06bEaKO
VbmAPPFBrBdzTKQ9QAdeA385tAmc0LToUBr5T2XKUWrscKWEptEQbFpJ+ogj/yXoqcAiiwrMZzuX
6JeHKYDidExrcpr89DuMQ8C9eaNgzoZRzxY94SEYvfSojKEU02siTiTmHFDEATn8y11ItH6cf0J5
ojIi4mVji/xTGQuRosd4qSYIJLG+DZn9mXXFqzQwksemXmeINOr2w6+7W0iUH2pcB9vvsHTNt5UY
eLrdvsHbRfo2gHJKztDYw7bsmOwmcvG1ff2CRPNGDYANj4kdAM3GDoIHvADvI+h+RCPxEZwYznsf
Pcv2aZ4p74mGgp8q5WajJx2sqA5LSfEb7PLWzQNzuxIqo8Bh05Vy4pk4b6xemJBAZHV47kYHE75q
iTGnOYBBFMOTYT6HqGgIR8hvW/WSMhgdt87obksyQ+UgnoBw2LPy7vNyw+thAFn2zQWY8CK5SqgX
jqr2U71brd2lZUQkBzNN3LDJ+YVsn9ctxEeI2RYGTVB008Ns54c+c78ZJlsybNOfiaTUJka7DzqT
ESl1iNX6Tz497Skdm2+9QRIS451t4PZ3cM0gwksrMdmlzdISCb2fTST4D4n5ElqNdYAG+Cnh9bp7
kZk9v4msvXQaU2PUYTA/HLuqdoPzUTgzikJpJyE7G4mOppyAVYcfgzV7yBJp2Qr+2JPyWUkFsaGG
ZKN/vwz6bVKvUAUs+jPbESfcOtlGK+9dLoishJpmoquRVbQiwOUdlZa3pj/EfdbSUJTyiyayAuiH
e+3otmW1j2YflxCje1T+XfnKcZ36Ibx5nw7QxLuPcevehRpOgmnCWo60sFoQTpuMrLYN+ZqG6b5I
dHytvY9Ka9+lo5XsGRl8vKJpOYpCPEhPkTp1LiugByAyNeNsMz0NnrEt/Y6KEB0mOznbHfvKQ7nq
L8r7sJAfP9Aus07mhsjREHfSjQ4nkfIQWdB0uzMg5rtCWYyZnSPp8DDW29canB/hKSkaONXu5C1c
1rzhI49PviTz1HVkMUCBBEOrZRXVtdDVVF1RKGXjqVbuKt31ZA+msCcwipNFwV3Y5S9L4qfyLvvN
els2/slrGNdht15OApkMFF29/Fqk55Fnf5jp/Cgfj+W4eZgw3qQtZhjg8h7yNAhWrpjZCI/6kGdq
iyckfBzojPHkHxM8yUFAnoyQlZW8zaoilnC66q9nYmcZIjP1kH97wR0Otjgls+oAe+wVUB7n50Vu
FPIER3OU4+K+GeYMkkSTYcqmSd0myLal7Z2Sfpiu4Q1d8g+nY+PVWpeCG58a7sQqS21fwvd4Xd67
M3o1yfJcBxjXrfCf1EkywvLB7kinlGe+nzVUIryiP1wMC8u1PNlRjGcbW9Rwm1fDD7nXqLPfidY7
C+LRHp6ovYTSim2AjrMx4/QrwgeD8NeUbHS8DdOq+d7Xz4vlvCgHKVn0utb6VlTBGQWetB8kZmCN
42/9nd4lPxrN+mge7TC3a2fXNjxQWVWow0bzUYMuSwgl0o9kqSoHCuZdh1nCxh7Hm6yabpBJ3UPR
v3YT2bKo61+q6SkpmSQjiXgRpmkxSMzYuvI3Vd9qla0RXLEhW+G1bsX0G40zDMAAx0HZaMbWbxbk
/3c0/q+OxiQo/YFxtSOM8U9RibfvXff+Kxm6T+aYf7Y1Vv/y37bGbvAv7IJ9MDYbJ2JXehf/H1dj
618O+yckS88ybZO/8b+2xkQl+pgXy8Bu18FR1+KP/m1rbBv/Mi0/gNoF1S4wbGyS/y+iEv/qauzD
kNEDSIiGg6vofxjfBtaCVUejNUe9ne5qm2hXrGW9pLFCza95zcik+S82wX93RVPXbQu6mgX14S+k
2qKyK3udKdCnfYdfAXkDzavpoumgG5iiZPgvtMy/UuDkF+RCgaXbsBNtXzr//oHKGmOoyjQlb45G
EWJRCJHeW67Nmr+7Yr3+4fH/jQvz31wKlrBpE5Dl8u1UAvIfLoVlsEEltTZHiTbkRf4lOauptZd4
5T9f6a92xXwpruT4tuHxDvzHU+tdZM+Jw9EXaVOwD3y2iy4Bh8vn9L/dP4N3/s9JmlzLJQjK9wIH
721Dfus/fCtmxCVgOd/KylvkeJZ+9UW7a3z3jDAAWqQgxLH2b4yWwLJ6ESFzkTsrJt3RrG7/+Vv/
lWArvzUBegQdBpbh2v5fHLg9yGFaH0wNGj8t1PPo1h2kVHq+GtpyhbT/1NneZ4S5yD9fVn3DP9LA
1XUt1wVyNuH1On+5A5rh1JZn1LxCWs5sob8h4gam8/Qk+vmJ6TSUiPiSVes18wXtppa+tzZJKws2
fKndgkL67kvm5i//Lx/LtnBFV/nlwV8WktvWA1mhVXPs7Q5IiNRS1+NqvTUxBPL7D2o5BHf8RkZT
JSHwvi4el7wUWKqOz76DcTR18uTG7//8wf72MUEFZnuiNmB7+fMLsw4Z3m3wx4+wDVqsrE1UqMO4
WxbKwslmRTBk9cz+R2PW/3bf/1Oq7z/6oKtH9YdrS5LyH15Wn/juUYN9f6Syv8eMh/oDjHwTk4dn
tvN11jm/9Ww+Tq77M01fqzbq/8vb8nebAIbz//vt//JUprxMUAHyCdaEjgHN89Wds3dloJ2xJfzz
rTZ14z/vNiG8vs97iWOQaSoK8B++MSnojl8inj/WehNCwTi7THMmXU66dbAZGxMdpK9jwZQRr9LN
kuAFXvjTk9Naxz4gG2zQl7PPv1mK5RxEvDuWFpzmKQibTr82cYraaLzDh/zJtoanOsMWuv4my6og
zd5dAwZvN87XtQgD9J9NfBjcssThg58j//7gShdHSuGJZMrFel4WtLQ1CELnXyA3nYXLC5pja7Zx
UOxsrOGuWluxAS/lXXFAgEZoRCyoeZyebNu9GU0mpUZyxI+hhJ0H0KoH1a1C/zWbuZJY3qdufkiJ
m9Ni6xTV802NbTyKGeifefXQe/PErASaWlkOlgT9bkoRH5fICrtsvfZCP9rdRz5k74Wnn3MLf+kx
CGnfYSNO494Msi/ZIsruWb5PZsArjJGORdX4aDndL19uxfLO6Dka88TswmYCQ5rNX5qHZ50uydVJ
KlWmt9gRRZuJ72XM7hFOykvRD/AukZVxP9Xm0bvzGZcd2vy20bbzUr4bXNNuuUEmO94kw+ymZXky
UmpvfXifNL6cvw5wtYgCGfuEGQHvwdQHJNQajIZLj8dSz7juljU8MTYwefsjh5o/z/dmrb04mJHD
7SYao+zCoIXR4MW3JowuKHIlNpaJfo7G5hdpAxt75qtqE1sPvlQyHfMuCz5nv0EJ4k9Xwtyvvrli
MhCwLzbBSSTGPRSAaRPZfJLIXx9nCxUSh3Dgj08BQuKyhDKYj/z7oAv2j7l0P8Xs+Z1QPniVkWAM
/iHG+Wzrxbu8RLVSKcNRpU0eQnm9dBFvHTSOQCvekZSdHXmnKH7u5gYLnly/4um4k7BUXuOfk5Xv
owc7xJqvQkAuAxrz6/jRqk2cbVvjKcMhFgoF71Ts9AxSh8e8rPnhVgcfB9MfBgxRSYt4GSsszwI/
OdtuISBCLNeVT7Stkj4UTaptO5FJoTHMyEXcu/FIJiyXMy0eVusGC9mQd/VnaeyNB8fDGqmv3BPr
6qI+vQczdzMb45M8dzPRoTJ4l2IprBbeJ0ik02Jfgh4gdmaMh1eztUFCeZWv8iQPZ0t37yCrtjhy
lcfM4NmknLEHrE+xDhuvVps1YdfW3U1OFKmRVu0FoicWD0Uy8F+oDxkMR20TCj2aeT8sE35Xdq9e
R8hCX5lcuKtsVtDTfLfM+NHrSYCOPC6tthJphjm5cCsL1kp9ZLtlmjFdrYRzCptC5DsRlrMaeou4
jsDgg+S9H6kj7LxmcQb5YVmeu5WaUG1bozzqEznNnHmFmtjeznPhwp1arggw6x0xzPovJhsjLij6
SjfLlPdpO+SYzteNgKPM1te3MZYf+avX5u+asI8i7d8cSEsLa2DkdTFi2C0a5GMdCrA7cGQFEyXw
7CMaBM63DuovBMMBm2YWmTde6exkKhAfCyMybrnFpQyuEnEO7VrNusPhW9v6C64kAEbQ9bwVU3sb
4XI7n/U21XbI+m91hHmbYNWGw6QfnWDcz60H/mulcziRKUJ+QZyGTjujvhjq3TKbV8hwrC63bvhB
YuP2wwIcy0r/zcozsOFpeiMg6w0nRhEVu+h2dWLnAmeBeRbY+x7wza/t6YSNOVyRZDpZlrjxenbR
rpHHZI3gToPRFbq69sLaQqHjSjc4ulqz725h2GAcmlTlNm7sZ5BAKK9zE+yLJnvFigqNZWWX+6Dg
xhUGiaYa66rARB0R/nJVxDv1QqrihXC+L3kc6GXxhbqEMGtuDVtc32NeuPT6h4j05yypkAYYj1NE
ojUjGQD0GhN+n2wL9YiWHr+S8jCXWNnJl38oJxyBT5bEwLSUF6rKqnfDyBes+gB5OnDbRaCsdXit
k3ms9xiqfA5gP3undhGnBMuNTBYiyb4KUyCjDXnozF6HiHlK3L6KgTsSd2now6roA83btcL46Q6d
syOxFv5TkPdghEw23AxdDTRPkl9i7UCMIFOXmfGlY2owGxCVps2KM8fsJgja45M38eFhjrPDRP1u
hMCPa/ta75q62ZnLijwJ8wZEVstOGH4PWzi4SavK2iRwQhjQJ1sWssmgrL6tGkLi/ZGy3V8+hd9j
jcy+tXBmAnF9ujrgXCm4SWOO6UdhJdvBJ5jbcrjYyGYuMgvgLh33KJYYbMtnVxesoXFFIWpf0Xfe
zzOvS1+22LoF5juezZDz9VSDgCxg9TNxSwoeu+cZ7/zDO9NmVF9hvmTbAJmqJsJe/leQOTRJAWqo
hXTTIIfc1hTwYWoniRmr0l8kkwUJsNe2g6xlCTfPtsPnrKMwIUWjRuizyez6qerdazWzBIi0f16J
5TblXu64d6vupFsHA9ZtPFnfvQo7DbUFOQM6/cwo90kD6cEzGSY1v5rOuYJOfxYzy9by9Vdv8nTS
qzICFFYsI+s0AKOb+BVPpdjhLHQRtAfMAMoTjSbBxnaMvQxgdz8MuKqaDhG7FXZcTYqDvcw3z1D/
2pyLu3Vx66Oc8HmmwQqnMBhYywitZudCSnmyqZ7N3h+fK8EsxgSgN1f/11JOj4bnTz+zmKDu3D3F
DIfeyIsgM7zrteklq+3LOFrNkeY73WVT+t3vRv1cBtl00XznnKdFREp8djbFeBDYKNzGYsbgH9fV
bW/G9s4ukmUrJfIwCMChkFwfKm2vp8Y1gC3kAjtuzbl4TTlKcaSAEAG9aRFk6BLQdtDFKva80Cmu
/1V66Eq/hnaj6Ts3FctuMYmTzN2bNrFukQk+V5OL9c+b6sltXnvod/t+8KTlnUGuxYynhXWpUsZu
rWM+QA2pdkZd3+cuAghH848Nnvd42lX7pCDGnujiq5Eu9Q0GcjuR9+s2LocH3WD+5njk6JhdfLZL
cRb2IMLBhZvh9su4h8WA/YzoP4ggvhsqfD9msw9T3GQOc1OeHWhbLIr8KcD13ymvPvRv6A2sT5Ti
VK96h6MklA54VO6+jJC0Ynr25Xi/+pnjQx8mI4TiSqZEfd9aBiZXdrVNtbbekp2t+9Rb42x/tzXm
ZkvMTk6ICoVWTGMirJ6l77L+l8A+jmUOa7RODp7FBQPskNCYOtLnhyNgNAfkZ8QDbQlEG7Jl7wQt
ysMlQOWwpA38v2EXtzmZ6n0NZugiJsHhyzkmkFkmbxGXBLom9qcDJ9IcDks3HvygvWe+njP6aZZd
1ds7o8+9fectDnXs+KNLWWnrOo14k7WUUX6xq/wUBaSJ6sZv9J3nJe1ResjIaZvopoYMIlwwpgHj
Xg1TIyxSIe0l0bJzGx3FAxMs5KPB3tCin8xieJ0kT8aWV3f7/tA7eEE6LkyGFu/WYCwO6qSrrJom
E9U4ppxISObYvllbVDkxOAHbWXAg2fLJFLZ5II2dOLrYOg4BjGFOhQOEC7wYzeQ2gJ4De+G1iEQZ
LmP3sxBaFC4xLFpCTzDP6gMZQYTlOIp0cwzxgaUo6tP4YCO09Xv3xffyNKR7c8MoHW/dpXsNsEnb
klItNkkqrRGwtNNNaoN18I/+HFMgVpTpxmDhosZLABOQ4t0wx8M4BJhvYvThB8YVKR02QAtlukaZ
7KQydqEp3uWB+RtdQgIR19s8pf7JAIQ3rHXYYPY3xJ4waGEbubIoyL11ZNaunWtNcL6b1FmuTmeG
Yz0OV2yCaRIgZKJszRNrHzeLtMv8VvRoMiK6mWzsm7CFUzQHLoM4D/sDY+aTWjygSUM+5s5bdU9W
y3+pq/qBPelb7cd3qtTtM9pMrIzmTUeEkonPNLEK/ZOBo5L52S98b9iA70FzkJUywqBrVWB6YTIE
dyudpD69rTap9sNh72ATjDYzrgL71UIczH+IDMFxuWU61DL0HCG7Yr4U3WsFBh5BxW81E1yaUgyh
SWnXVhQaMjXBYMRwhDXvt+0l8fc2jWnYpMTH2Az/R5uwb4vqgoEo2wbJDhHK88hDqkdAEGwOHmMm
m61BYi2DvAuJz4RkSL3XqMt+4jeEzUarIV3M302b+z+R4VyW9GnY6GUnwRPrZagICZ3Fway4uXXx
4I3zHYrx59J377Di+iLpmW2p34++uKuJ8t1wMF8dzultkwool02HJYF4xve33E8YWDQ6jq6aKIrQ
8LHIIz3ibI0w1j27DGMihPakSf9YbOj49JceoTII0BQaGvu0ppa8s7g2Y3anSqq+eoRku4E5SwUm
IC40HQlsKweqbEvdPngze4zgU54p1B71hsZDRxh2sJ6zstj5/8PeeSxHjmxb9lfaeo773CEcwKAn
DC0YDIokkzmBMRW01vj6Xh5Vt19V5bUq6/mbwBhkJolAAO7n7LNFFeA8B3v6dtq9h3t6KQlJlXQL
CDz3piUeMEAp14qcSCbGmpGm3Oc483WGABTYfHiycn+8yyO5D63xyRrnU9xQHPcuF57KngYNw00G
kb6P1WM/PKU1dU+ehccwL+9VSQSCg1UuIp/X22fQ6zkuZtSkTuhz0OtqUereQvfHIprfbGgrfd6X
+IeReuwFvrxzLRg0ty7ZyuC9uMZFkFiLPxFg9cJzSKYBN5c+CbMt175ubQuV3+tiiusET1o3q1Wy
nHrnk5ugPzLK+ViY5lnVPBOk5z7Cfz677nzK0u7BBIaY5XJkZIc1XMG/0L9a4x9OOODk9ckmu6Dq
Z+zcuUcKK7r6QHqWqfZl732pdGhcJaezxCGKcWf8YekWfQwpyYK3G/x2O3mp95zK5n41c4CKhE0K
W7OfnSrWY8n/NNIcnNfvDyDPut9FNtxyw6exugTIae7khMxOPk4yVkAw0z0an35lOA/GAPGYKCq9
YPQM0TKCEQWrjTvBeY+thpuUy2PUNDpe1p4pNCiC6fV6j8qqfr6hyXXIStc4XwxPAZ6ZtJepPZ/0
vgz5ljCX4kcz8Ezrpn4oKdl7ybQC14SzDRGlw9h31QV44NWht6HE8DcdnTB3sKZtWDHT6Z0UeLvo
p3bR6BgDx++Yqzmr2z3vWTV6wduDtvWmIyEKX9KJBkQvtDhPxcP3ph4w1em3+lONln6vSudjyqKP
RH5DvEHKg0rhgRcsM8bDDHOUjKB5vcS8bQ1BDC1PTzhNT477kvbRN9ydCUU1KNXNkF39EPQsGfAa
WZeDx2mZPuu3qQyNKbMoVp26OB5gpotX/g247Ftyeqla2Ug+mTwdtQKoGJHHbfDijNa32YDVMfgN
OvgxQWBBwZHLa22gTq2yp5qkhmUkWSzi8ScTneY+Kg6Ikw3C4aFLSqhkyIWPiQD0GorPs0oWKEH0
HRrwcUJYVTaohho566g1Dox6dpIi0dW39u2A9w/g1F2sKVm1iCFiz9FeZepCDDGeMTUDJgYWGzVO
V1dl8+YGLEQvmYNNAtF97aoeufHCmAa883OSzLjBJRRPk4gBXQn0vZRUZuDsKahHjpPPDfGwfBxQ
m/4yZOZ2ADtRhKHfQDkTgzfIlDs4Q3TrN/iM2ArfSvH8C+5HaC5zy6ruc3ESk7fJW5ya8Svg4aZu
SIHpA9gKksIvl/nnbpD3t+ehI72kUQ2dPV77GxjTa3zbvzsLsTxpPfOX024bToQqem+WMvdet3CL
3x4/eABWgF3BrdUO4MFgx3WUYIxDSc82T4hfMTAKdHvPfj/U4U8VsnA72bLpR9oi2FqHZuyfshHD
u8rEyBfw/26WdoicZCKQRTeSoLC3TivUUFk2sTIUFaKrLvfWnt4fGbjc3TDS3GDXjQHdCgcPWLrV
JGI1UCHVW4Gqf6hwCO4iPhAn45asF5OFFOQuZ4oexdWe9tRAaTsS6j1FuxoSIvQL/NTqOX5uVY3D
0GG00Ls0aWbgiwt31CofI/zLsIBEah20FzPhd9csr0PyqQtRZw0tS0zmkMfRDPJy6z2LRSEp86J1
1nKJOjf/1HTzeUxgRM1Bb6yyLidjznE/XJlTMVxCy77YU/7zhtIYBm+6ISmlrnD/VdiJ4+UhVk7E
1oby4LfNjlKRFMOa29ahNfYdDMKShPIURZobwTbwNSSXBzY3TeL98FJa3ga6F46UWJBqQKyqoHY2
Ftcu9eFoEeo1onu6lknubvVScnNPq3xmSJEs3uxJ/ewnTDg9kqFKUAS0llCVr/nMFpIsIEpL+bld
uofKoPUOypQmKnNYUNnesFnGSwpV/61nxuweyFnvbamijO5c9aPGKRjGDsWRhqZMhweTpBvUduUD
KMMdw2qCONt+3YT+Ft+xhH8Ca8nu8w/t1uLNW9zB+/vbs9waJj1qtTzcqrnbG6X0mteVY7M20+SB
zOa+/tCtjl9qG7shNOPHEKZy61VffQaMu6y+l7N4J1YEvIEhQBDipBGj2rEiKwBywFkImtNK2VTX
Y30oixAzCO76KX2qU0yJDRJE1twhu7aY39G5Udy58WXxH0cXmnsVBWSNZ/ShnTKJprhv2UtZShsI
YUV+THhrR3s6CK+iKWjm74HlvhkErG1pz3dOiMmZ7c89JMr8c1V3x7CCyY5PqWYvzZoQnRdQm+pv
hCuqLVGhuDQe0NC8L6Hn4tdKrxt0LWzCsDoUqYvZrEqGNQZmSMJj834SQ/88i/xTng7wCx3StjR9
0vC3izM9EaJlbFzgu1UsCIgjyBDuVmk0r9hDLpNzLAPsfsrFQkFtZQl+evYJS7l1P5n9Vgz1ZUiz
8c7IhmqbmvgpKcTNcEh7HUWctdtMUjYk/fTQYkx0Jh/+LhpgAZMYAKgUBMM+TMaXprfUIY9RF1Fu
0x59QHMhP9b75KDvcnJYXm1lfOlKX2OkYbJfKpI6K5G+wbNDtA3p6SwxU4E0VlwJ6AwlNufiSdV9
t71p0PNWdcdUH3Cmq2GboQsxdSiHPgSSQ/+OlYQ8ci+o3w9O6R67ZKb8F74B0IHWYTvM1WNWkwJy
Oyg8AY8OT84YhuWhDSt+fVY84E0WbubBIKwUJWck8cNvIvBipU0dZB12IISsdgEkw7UqETW3Wfat
FYZ57HPxXlQMFKC3y02Oo8ldOcr8eDvEafDuN7O/Ma3aOU5e9MfD7XsJ0udNVKdfYxJK5qycD1xN
+0jCpn28ffWXl1bUW7vQIRC4xF3Htvtpo3yMLY0iEcf/PlRjSFQ6abKboQ6AcOopbmEPIWcPCFE2
hn6P3Ram3FE91vmdyypgxec0tJ7R82FY7vfbyZqmjYji883N4nbotSVF0+rnCsB/898/SAL+UJaC
aEjDksfbAbjf/O2rXtvpwE7iJ+6osUlh2jytcX31DcFwrxJPbSrFU4ltzzYtgAajQB0i6OLn1Iw/
Waqpz3aH8+hoxPneIJXqyKf0VHbhKid58Fmo5syPp4uSxCxYaZYc/AyLES8u4hU5sRj9F4316EjD
fIwjUW1UgimQ70N97KTTbm0qAi2P8FHco+fihtIvAdprRJLh6vZqGh25AeE3CMkgE6DvOZ1wnKun
xcqrJ/yeXaBxcIrb90ispfzo1dU2HiYy6h5RKwGKQSKD92iLMnuI1xOtofajigbQ/cVObTYiXEPa
3lDA3/pLp4i+yymE6ahNQArtCXL7atCfwh++J1S7HUL7M9LrCEll0K9H0303BFk4k5/WJ5wmwlOO
7QkksuOgD7evpiF6Bjhb7tqKHdxtxXQMVfYzYdC+SRkbHm/fuh1E6v/+smownCToOkM2kRP8xJzB
BJM8OhFuBPIxHbjLzbJDGJLZl/nR74KBaRMHb56/sR3Zd8pdgmc8N8uxeXagBgZNOe/JC9iY+il2
9dPZzb7YoQo413kbcvshAjCKbgvijuZX8h0zNKn/HbHppovbN6n2g8QGusFaIWapWUe1rk+bzdxJ
bMT0I47+Aa/ZriI1LhYYTsXYBSb9cUgVYSMENXTHTC80ZVDu4rT3dxZmvhInxCDCGhapjqCn3GWT
eYm8ZMMo0dwH3bZyU28LNxuLSYnjkRp8/DH4VUo46DZy76FPugj/Q7ms4mUiNnUxoCuq4luNU/Bx
3tm94BTspj8Sr9mzrmGCQ0nIl8KzCbTxwmQDFDGtiiBGSLoI+3j76nYg0fr3l7FTmdvc99g5+wOx
I+jbino4Rsrmj4zR71/dvueEn0htWA6gx4SDBhPweBQv6IKRIN+ZiAs3kN1tvJ7bLwhNTk7sskXP
w7WK4s9ZVLeQgZt1VDXzXobdJzN1+eSnu2ieBeJZKwN4GMNzEHtHE3+zFSG31bnyHUA6FR5sWh6S
O1ANVuJr4Nm7xD21idhH5fTFr6vXxene0omKURJwPlKX0vmayXE2KeHD2frkJEjm+7hJWEmiB1GA
YWBcAO5hfxFmA04wtN9rivKuyfodxOFq89PCYDiW2KSNo+ccotlUG+lCI0ND4ym3WpcpGj/fbT8n
Tv61Vd5XGhNcCZHHOX34lQzSj9luoP23T0XosKwvDvOQaRsa0UG/AWGOO1J8PR6JKcILWOuckpni
Fo07hZGJ5harSUCWVTWE25gFGVcs1jY876XlXrKI1a5RX+LMem8WfklD2LU3sc2NPZaWEVCjdPK3
kBgzZhrei+mHX9H6fEUgAO71GKcK+mdIBec4tN8LTtqoJc+LdVxqk2GcybxX5c3WWbTRxNyZZyLg
PrMK3aciwvdJMp6Cb7sz+/5q1hWi/amf90vW3eWNYW8IzENYH7PBLcgLmMUNd80jDpbjhmq2OS8K
BJxR1E/UA9NvKI9t9GRY4nfM24h0I5AlL4Pb4HLKTNmeoMkzrwv8ziTbcp8HzaMUA7Ja2qcbopf4
4U8NBWG6Q0MlQFi8nChwMyDTQVu3OONr45Pp6QjNJgeG6AIaSGvl0OiYBn2LneC517rNFdXSxlLp
R+yLZ4tiEeyQnpnUuVVMJKs3gAtAyadqhErQAwtlcfZh1p5xt7dr//j3fBtbU8z+RAXzBV0BtCaf
qaAl7b/wi9plCe2+Bb7S3oTFTK9SSRFtJGbsEzMSt8q/UumRgFJnbGc5+ISGmnwGaj1Mdz9K8B2j
6gagwM82153B7VKGwIy2VvyNh1Cnt1LyaFi4vUyJYsrs0Fz2Af02JPBxmH8qi5ugT6gJhbuPSwdG
OGhPmSi5bet33AU+JvLdVsaooYNsiyH5TMmfrPPeOMON3/z9RZGa0PXLRYFDKl3b0fzHv/LyQqya
PCCRfZPL1x46UZPSsupTikkule5pGfehTzL2hCz67/+2+R/+thSQAslOgQBF8NSfCV+tPTg5UH+2
r/TEOw/ov/hDMnp1gBkM07mU5vykYIvMk3z1XPPgY8quuzDGok+BT05NAxWcOoKRcofHjX+YbCCf
vz9L9QspDG9Q4Tq+5wnfshga/vksiwYPe5JhuW08zjLqaBC9th3vWIZpJlHaQHCRxCAoBHYI3j80
Zawe05+azBHHfIo5brIwMrxtSUcM1+DD0r2cl8H+dMviA4HjB8ZOP7kntrZJURYmEYaAMcXt9UZB
DIXu2zUc2NX2pf6czFgGTyFN4Y2nQZuAKrpUazfDE3ugkTfTrNolbLjhMp1wyeePWRFpKAOjuKnJ
7qfExiUKqXnuDE8EGP3Axebh3VfZk27YwHk+VDM+ZU2rlRhvpgYZY1UfnIL6FsvAhdFjY83P2RTt
//5aS+sXciwX25EmagcXd8hfCKvVFJeGB/SBRj9F+CTsDRxVul/NN2n0Sma3mhWVVwcwmuEOOzQE
BehSL3Kwt8SAlmwHIMqeS+CUkVUt3mrxuG8HY5fpnXsewXOWPHPRIobgJ40/PNkBA+BKluel9fPt
IJaf+WIMLG44aKt6xs1AfyYRiIUVRqs8+ghbAyKcBK9GmfOhB4pFDEiWjKz95IWQoEyKuJVTdZkA
olZi7isX9A2YoUQntVJsoZuku44Rg6mUnDBE29lnd6EjZqb9kZtYOyCCWlUzK08TuPiduFSF+udR
xuE2b+2NH1kyVlswB0N2CHKL7hsCHz1lyHOTSgEBDHYKkSg+epNxZG6JHfkKjLwwwyzCgVw3y9Wj
kRjHu0J8otADrwLxsYHmUrM5G4BccBh4147fPd2w9sooL7abHqLK+FGa2r8IA6N1GTjvcqDcC+yF
wUhKgyXglbVhu2oY95L5PO6M3CS8OamrLeOSBFum6lB9mFYyH0doU6s0c14dfsiE4BiW41d7jMjA
KLaB3d+TS3uoNEmAeCRuAV/t8d38EupgTH2q9SEsox/GOD3hfjg8zCrDhEhb2g399GoFDmQNNDfp
2DVHBEGf/uF2/Q87isQASQqUAI5P2O+fl4awh2NiG226t/Rb1ruBy/eo4fzvRncq3ISmFbUXjJwY
vzw9vNMDs1Iz6WxNo6q77B/4u78yvn0Lox3T4TnCzNg0/3JKRKqNqoplvM9IPKry5Er5fNDQdzai
X23mQ6AZZ+U4vGrqFbrqj0DUb5bn/MO1+Q+Lu+XDtzaRSNhQIv9KPe/jHvv8ooz3nY4umnqeKrS9
CYmJMFu6FUzxbw2t2rA431TD/CWEct5qfENp/hh8ilVLxCoOVt6L6OMX047mDUhYgMP49A9MXP8X
mrxvC9YcGPK+lJb9Vx4uBbbNGHyM9lOaBGucePAejddiaBO0P6YeZtPWLxk2PA4fGw6Gp8gMxqMr
7GZj8h8BqM9zGo+bPvbyDfwJd2VqNCrGGtaz7HgNzmphagwxr+z9VwS6EB7EmNM8FgTTVIPfHsZ0
+pTPSYmrBKxYM8fiL0jttW84/qtPL2SKJ7N5NtKs2dww8dCI2X2aZW+m1hqkz98MI8Ba9lY5XbrP
6oIYnT6OtjwWqw5m5SeVm0QW+xcVzcu9Pyx38czcwrDwmrcrdUwaHhsLozlUZRLrTt94a6o2w5Rn
AFz1xec5g6xrWHuNOd6oogWYmucbLxEDXILW7yIzug6KBXkpimfsvlk1rXwmOsc4+MK5Yob70ylF
v1PWPkiyZk/WAIB2OSUkOzfRSi31ufar6imb8VBUKatVPnfTvonjH90Yl79VH/8jjfonaRTyCyrf
//q37ugXadTlx/i/3ssm/ZMq6rf/9LsqypX/8tikPVdrWFhtXHbxf8ui/H+5StBG2L6t5U0mPypw
043+z/+2nX+xtwMcCuVKi64Odv2/ZVHiX0iKLeI2LeE5PqKq/x9ZlNSF/J9qWkfxEDuW5QjKNqX+
UrHJgQGtEGCKswizBwbW3ZN+ipM+op/LoW7JAOU+YxFytH+iuwzptfAS/MNFu/725/4kZ/hlc+As
YHkILhPX4iYQ+6OcYQCSXDDXJ2Qo82tiJYJnlKlYts7y4gBVbee8uW8UsbkRmTmhNDZQlX/OUxXt
IpyE4FCQtvb3p2T+It9ysJzTQgPBmuz/UspCaDXJQhXFwZwriidofWvyQQh6z9zveZeIazb1e6It
up1lhV9tB+eX3lFqLfE8w9n+KShcrJCKsd9ZjsPgLsNoyfUXZkwC4zNXGOOusmpmOACCG0gEzrp0
mz088/1oSrrHcPqHXeZXeQ8CeLRoWLhxQ3nS/st2Vxuincq2IfnGhzRuMa7eeFHZbCpSs6wK5pWp
w3vadDL3srJ3aY6No7VS4GJnbypeYkawD4XpvQWm8Dd/f7Ult/pfb0NyE1jfUbDxkOj7/Y83QNd2
STPSmB+6cHwKRoUNjsgOpVDzLhQ+VnJ+BMnIqt8dvwf1cmgyTSYnmYpIKyX4+iE3HkIBYv0P5/XL
jakkDyFnZUMC4IPSDc8fVCeJgOprto2/t1Os6wt3ZQnAWkirhJIR0NQ5HUoTalMd0omT7/hKUCqu
XzAb7xaHLIkctv3fn5KjP6Y/PbGuI6xb2UIwim96+pT/cEpzKwVWltOwtxJcmpwkME6qYYs0PeOe
4ql5zoL71LTCx3oEyiik2swOXJ/FVvE2bxiXiqCaLoVdYleHhmg9TBnFvhUeinIRb80Y3qHgaO4X
iCCYPJFV7aT2i6KtxHtDHO0el2qZNPdyekg8xzlMRkmeIFMudj9jM3uTtRmC+SuxOux4hj9t27I8
2y1TQLbIg2OV7xEpZneTFkVniQTQby8WCNa2LJv5wkiGJv5nDJMYFF+xe7rVsIZJSGZQD7Kv/IYo
OB88YSxGtFam9/L3l9e0f31OXAcdMcu1zY0MqP+XC1wASoZJ3vV78zY6zEmBC4MTPGn/ZCZWc0hq
2KFp7Q3XKZgu+PAtJyQ3xRXe9tXocZNWHZkghTTCkz80P5rcnSFgc4Hm/vsYlbx3DP9xnFyCUxS4
36o6iXdxPPtcX3PNqoTPh2tU70GXrqLI8zHJMNsdzAj3iOnyNfXMF38m6CNqXXExGg63r1LtuNCp
/jr4qobVOiuARhk93A5Z5F9k4JWHsZTBplflCY7XEx9jf8m6adq3nSNfBruYH6PggZTL/lowX96J
dJEvC5ltadtEDxjUgXbMwthw85BEG66VWTLc6/JkVwmnWUniaWBRtvU2CsuCViQ52Bhd3Xd+ld6b
ztcZAyLAEYnShoZ/uyB4P7DBrYWC5c7DHQP/NekeswYb+CZcJ+dUlt1ZeZx9V+PLJBnbAaOHj3ny
BiufaZAN6hnJZT7dJufkxyAYmi/o9a6eUxvroYL9I83CP49R3RxsPWjLxIShZVnJAxt7su5EjjGZ
PZcn6ekItyhuz1hg4SK/zEcjsicM+6ttlvfWHtLYRzEMn7yq9Bhl8BmpLGpWdWRJQrkxDLMs8e5E
vjyGsNMw63Gcc9KVBysn5AST941rYKrErqrzwWM0JASKdbkFJzWNHwNjiB9FQpp2KWpyB8t6Zxi1
fO4LN2BlhvGqJnsrTRWenYr3SK78fBkN7hbTnvExy+az6SYuyYZ2/QjHOTmUVsNAouq+xAx+z+0k
i/Xs9zjbuDZaN2c6zrCrV9bMLp8YYb7xBtvkj2QJ4hgOLQ6S+2CMdNR5sPUxNV5FpWSZ9aanZCyK
I1G/8cMkwIOTwSbcvSeRoFCkAAyRtVzLIhbXADZcHCfxoZ77j6khtKbPjek6dPmrn6anpe+sPSx/
68kWtfEQjzqnl1eWLV6KZeIiy9J/mGcanar1mXguhz703YfbwYFke/A9gJzbSzoBRhf6p6nD++iG
0dvcvhcRuIkXCJ5vuVku5AfwTyxfxGvHK/CHhay4zbXVKKEH4SMpUeFjli/egYcEmYJ+CSmVH1jR
dG83anf7li2KKFyN8thaOa6viKJ2ppmGz2kRubswtcWKBcZ4uh1E4mBCNS8Xof9F5Il+n2l0zKrw
GbPU9Xbo6OaOsz1/u73KGw/jeVY6vD1Ym9uhQusTZc+3wzQE797iFtuZRfuu7TstX0kEHL7O3jTY
1R0X+virn6HbcVAJYK7ubthgl7NRFcekt3y448K9y8d2fLYwjJdl+FoVubuPHHfG4Qq2bknjAj8d
/IGUYzzEW4QT/WKWqymoq3evJiRDfR/jNAYM4Sam+4Mw5bwylvRXXpm7B2kTEo1xL2brCB8yOrkr
GEnmml+83BquA3BJP7/2qkNM1uNqGDV7lWDLAdyyZ/6Fh6HvrBOCqE4Y4h8mngvCu21AnzE7OJlD
ktvYOZs4Rz/QBP5d7DYEftj4qoXuMq5mT5P0a3INsxwv1HAkHHhIUnkQVfwTGmq+9avRZuUCp81Q
O60b08MOdndjZURM0vNmCh6jLP/SWX20tVl89znuspCtvEtpdBGZP0AXYsh3okqQYM7mp6RT8IPm
tr6qqHiEyvXCoEptxtD3iP7QOQySGNcs86MNVv33WQQH+XY1M3sxDgszbuAT61ClOOHFyZvDrPYq
OoJla8ayt/VpyTzrZeZebtrPHvSJR3Yqck2X8eTHTIulNz27N19QgqHpQ3ZLxncp3QlctKbqOI7T
F7u1l60dt5fexN+1H1kkSCxb24vvk+w7QolJoI0i7txLVDIDv+A9zJZnvKjs842zjv6m3KUFDDeU
sxvhx8axJgdNts3Kj2R+4vO7emE8nrrQvbrVQigNXnSbeobrj+v03snIejGkt+ophXcFnHXmAQHk
Jw+7VZJBsauOGRwZUTGtsED8KoyioV6lP08g7IxFX56SwUr4V110nix56iKSN+xwY8liuch+OBVl
Yrwty372Sf0ezYgxbZyBOsXVBUZ6Qcg84g23LuItETDHZYT7kw5vcYkhjTcFL4I4PO3jSajovLb7
SCDLksZr2IcYg0/lzu8Hdz074XL16sfGSeQxaMEF3Wqq+PPmggmzx8Y6LCdvasD/ILexEcjsQUB3
PvrZch9jCh0G0XhI69w5Vh4imSpkZ50r6J2RrgNyYzt1cCVUaDvHpR3clQiLpPwmkC+jr6qSvdVX
93Vmlhfh/0AzNBwhPX6mqHEOqdP8iBOojbVQIBad/wDz3j0689JsYOwSEgIWuu9da3pS9iIB3my2
Yw/y88JgdCe6qblCMM/vhkLZH8AO1XvsRq9DOjpHq22I3rSBe0gBBJxljnWw+7BBYnuEGFihZskc
LaRKD6JWl3pgThSHoJowVY023xepuiJHLXeGv64qvOaAMGYM6+GtuzivM5gLmsPt5I0ubB+r3r8v
w8o4ijomwnwmQKrrY3Hv52SRhLncRv7LMNQNy8AQH8glYvf37GjvxMl7Hc3GPY6Ad7amdRtN92An
EU7Y2PCSckEsk5/0wRYezqruB2vvW/VD1pCVNEGRaY3qUA7VsB+mH2QnlfdMszHBC5qf1QIKA4i9
HBKnIhOlPsikNrZeiDQjKy3ryKZWkGwK0daXLe7wIdBrlLruum1ZCvuACcGA72Q08xbSOM/XKfnM
BzPhbtK/owuCAqRY1jvuoIPVE13iLwlAvhl2uE4SyDimDrZH0DtYV3wUk+oMursJgso4Z4NOAG7g
/BMKAGJWmeuO2WGifmA+vFwjpuSx6x4Arr1dA9Evs2fv2ENBh9XoQQ8Fq4AsjgUlkpOXnogCo/ZQ
SDT1aRzXLjbSUKcgwIc4Nk59+RYsQOodXqFmzzg6XgJSpGq8irVInHWj2WL5knzqZ/GzQemI77yb
4CGRc3Kz9TEMxrJaMK7bSqMrVxEJTSgAhupEDIcFL5ZHl2RdtqYuuajWpTa18mRvRFMK3Z+XfT+g
RjP5xBVZmVHHHjU46fTc5/khNYD36lHdewWhxxXZ5wgaFRP2PDEJZ0/zzzIKrsaYDD8stz2APdx7
TUUMiO2neKgW6mR6vnPy2167xpvHiTbu9p14HNXJMzNo14tFbEoWVw13HP+2uv2vvjo1g4+bmdYm
ZgTJn5s+rNa9SMFx8248KRemcYzZ8cZuTF4awXeikrLtOFZiGzv5l4aG7IS7W3i+fXU7uHDY1qNw
e3zlYMrd1YJMMx/FQo1B/PH2T9o4PU51Z+ymxf/pdma8HsR8MZwEzNRQ5m+HIuPTq6FVrWPN3XFp
v7D7ukvWjoDZ40HxEZrrY4gLBmDlo11f0RyrK7bxuOEH1ZPITGdfg+DcGVDTnm7f6xGqrcJm8HZt
ZRmU0tq0do6apxJre6/r6uvtVSBNeVQeFIHby3Dv4PO85TbG/Fvl8UZ5Dha6muyUKtN6BB1G6JOR
/REtc4+2oksOtTVH6I7ldBGkZvQirJ9D/gbbxpMLzx9JV52jtuR0mkbWZ89PP8HSc8+yI5vJHt21
LapwK8JIPnWatBUpubJbTpCcJRsvXUEHZoYboCkU671+fLxiY1bunnajPHusv8x2HBgNhvEgW18c
50WI47iUCw6u+rVbMV517apeexgXo9JcTsbsoSDOs3lF0NpyREH1ZPVes1usiaSqaBqPA4VdP07L
8XYoM6+Hd/3/XkNQQaofTsvG5DqzZc7qRyzbeaPkXrk1np2185jhcXJ0eYhO1OWYDKXRXZ5X/pr/
kZzcKGx2U1tfzGAJt2bsfDYE+igsH4o1dcNhKhTJ57GXbfowP5t99rkp1degEeHJAHQWfqL4bfF5
IFecDzZ8FGNy8Zf40jS0I535QoWH3L6/TDj8az42vzuXLJFWdu7YBTwH0VQyT19I8kEaZyZvBgI4
uQiSp5P4RRW0Xo11sKjRGIDYq7aDtNHk/jdnsT/cxd2P3vDJKNCuDMt7LhRin4KRcviCjjW+G7qk
3BWTQQfoYZY5tvNKtuOetJxHipO3SO8wmT3uiJJs4ZWsqxqlaHIIIYA10TXF5HLXIcYXqCXxtmA0
GZAhz1oRMtBDEk34eQshSbTio+yR6IwkjNT4CJKFOt3JxpWHxAoY+Q3TfkCLsMsGQ+4zxTNVy/gU
i7JZCa//YRtuv1VO+jGlOG4K13szS9UdMBecAip0L8zUAahtNQ+oXcCUjq5eLm8H8qgA+9VeolFu
F95n0re7GvoqcmixQQnyqOIJW/cmXZmlxM6zqLwVBIXtiK8vEWSGsa6YqCbKeDKsqN2W9eBupjL7
Ovk9RbyGd3LseFPvlXRoBpzKi+/qdvLXal58/FNxaS5jojrYOhkS0g6VufwZcKmJ4ynWi8G+bUgK
gS6tP9J3K6nyKyZK9QqZbb7VCHJRLd13Fo4HlqHorrJM/8EzQojwo1vv8dP+OTo41AaJY27l5Duv
obIuCD4PZdz5IKBKHosssumvIusTdNHPTa/DJCpaYNsPcJ30x+Rs4tHf1pX7mLq6+ioa3LrL6o2P
5N7IglfGeTDcmxolIVwlrKSXXTuiklZDxngsgp7vsIbQtKcnG9NEqAa4dzPsiS5G5pMVZDaXLs1u
iuPXgeWniOnak3nwNlXF9uUFVbOG49isgiaI9l1mIC8UT/5y6SGn7Vq3qh7jGMSwIQS9J0bbZphP
U67M3SDRmmFrcx4InqVZ+iRkJ85itKo1t7D2Ha65iObv0VxVY2fEMzb1ShoQkPAK+VIAHN2NHnpW
c4q2rHusX454sDLpXiMA6sJQVy85DOTSflQCX9oldG2ytf15n4jiS00ttUsHDwsJAo4DM8aNWxKu
ICMcrAff2SKK7TYZQTaQb4wYkjcodf1Q1vEzURiYWQTemU8NW2wHPClAw7PxUiBlIjjXbr+ok53y
9B/c6f+yd149jmtZlv4v/c4CzaEDpvtBjjKh8BFpXojIyLg89N4c/vr5yLxVmTe7qnqAmccBEgJl
UlJIFHn23mt9K60PxuB2pJpw3og088VXtnVioXBT4h7fpeBeD6DUHzxnDF/KpDjghH11fYZtBSIh
RGB9TaMaH/EcE0dsjOkDSA2OW1NUnhG+2wb5dDHJNFtAMyHW/hxWe1TfDWV7m2p5tZUICuJUsaaN
9TCkLKqPY1uD7yhgOdKbGLuURMlyZrhXTdbZILvj7MB4Jh98fgFOVp2X1vWMzpvN1ohxlQB028Rd
9dXrSWKcdKyg+ArIBYGd0XrGuQJkepagw7aVK3ZZ/c2bs28JDQrg0OFUbAbT9s7r9QKB2oRv9oQp
vTxX5lSem+VivbpeCGMGzf0v7w4r59dHj67fHpBPPnlmERjVuK0H54ubgpVuRYaQ0NHEIVdFehzq
3D82ywPoTCGW88ivgpSFGBWrv3Tr83oxJIqom++SGtzSYa9o3U2Y9fEp0wAKOHd9xbSmj4eHAslk
6ifeucitbJtV+ZvKJ5IerJZYIOCs59m8a3O/p9LUvL2bIlg0HDkeENjPj2GdFxsyP/KDMUJWCRqM
nk+xO7w0umcFeGOKs45Y8DyRSgH82Lxgd9iRs+OP7lPfMFbxB++TPuXlsx+q8nl2Kzhl0yYexpNW
Oul5tDx1KxVeUtvVWlDsFdojAvbqITuHutSPUYcXYWx7OhmqOM3kQ9LR7nITzgfxPB7YDJqr4mni
wFVV6ZnQwu982ZghBs0+kaTjYfpNOhSi6rMJhOh2lLMVZL5TUShuk3jmbMzUngpQid1QerR1YYfQ
scOdYifQiMuyuNR9EfjsyTtNL3weRTqFRRzfVm/3pjenn6FNNZewoNkACbrYtczLbtKsuLWMUnut
fG/Na/BOWRcND75GEjDjh+6dTJ/AJZgHkoV4wqfObFwPi2MoZfFaFuEFR5321od074AmDrdTLrNb
TtEUSpBZKhbjb1FFjwdhZ+lO4ssQEftEut5HjkJ0QEtucoy5y0JruCkiTE2Nro61aJ1veWGhiOls
vledRnrWy0d/YqAzwBLBh2q4uzJq05OpwbtwczEf+9Cfg7ng0KGszOLc0rW05uZdWREvqtdTQIuj
PbcFWvdO9g6Z0VFGP7A0dpqD2M9tkJ2q1ieMCBKPVbdHCkrnBPUJ94Vb3KXGYJChgbWChgJrFF9d
bCo4ZZXyqenChUdVbd2acVyfd+5thyRyMyFtOjai7/ZCFc/4niu8JVTB0ZJZl3hDGUBN2joEau16
VuYPU3RViU2sb1NyHtKc98Zr1cn+SiBZd0tOojFN6Hpt3bxUFhF1rm+I05hM2qGpBvc6NgQOJ0VM
TAnqIhcuDNNJjDeDug5G0j+YufOW4v6XAixsScf3Pll4DKbkJGVMHt7d/rFvORm3ke6hOZi/t3U+
HEUo0BDRXIXPgCcNL3x0bBp5SBpyal3cFVfLI/4rGXuqBNAvI9ldx75XX6TsWKKPDfmAS1sKmWjA
2Mh5NPS32hKIk8qSU1jnfXZgTiKultY5i2e4a1V16E3QCOGEGTGN5oVWVRxNNT7xbamTU/jUQOkw
45bp8bQucYe+25tBGunzwWAH4xCByDXx4ZjRHW5LHi+t5tNKfxoYI9UgwAj3625oc9o3k/HF7fO7
wm6bBzkXPR3oqLtqORFPglNaAyUtsNUX5Y+3fuHrN1Ha7W0+3rOKi8/Z7I2XwXEuiZngNVXjp6jQ
yvu+Dm9cieTNGvG56hMjm1Q5d9glQemjzgLt3N7NtLYjl4mNQPd8mMtaXroYC6KT0km3v9fWtIds
n5ChqLHYToTatxaM6BDkkl9rHutjVLOj5QbIpaLdNHbv+qjkZdbseAdprjwOR7QCMZlaU3/FGrAm
OLl7UlvH2rMD/NrWTq8quV87B2SiOLuwI1fJj4pj447FaUgHoBlebRxVyschhADw7blfmhfFQdkO
uztlDs1ZDekTbIiYkJXKJG/d2Dk1NPtJoYBPZVVeQ20L7sE8+yb+a4zwB6koPCUNvbHv9QCtHdkL
fVV94mjPKlxPDrOVFF+7+aTi+Nwj6cHby6yZRdKSD96E+l0csRJymTzdy5bDodV02g0YAZ7UjO5H
m2YA2ThXT4TGsW/79GBQhOwjphIIX/j8WNg6F1l6/aUv/Zdx8uugNhsk+KiJX1yhdhx4+E9VZyNb
732wnXpiXsgG/RiszDlUWaJhen5EtNt/HpT+mZRZ0muKuQikwVcsMmEEFXrwU9QDiJHM51XOaMxI
HCsoXaLQR10fbp2JGXDFwi/pxA0Rk+7Jn8pXYSTyxm6XnIcCR2VWwcdWGELYCbX0weMpgIJDfEbR
Fwa6BISDB2BC3Uz9f2k7iXrVV86lZM2I+szdpYPZBVS49dXW8F1Mkq6pXRrXWDqvAEv7I8eqV0YV
mJiKsm4P07K0MBoGvviK6S+Z7H2mh07eVyNJCIiD9pwdcLDAi6RxQsrqwKn3LEg7OFciHQIRqxuD
5caNtVzEJkfkBlxKSMj2odLxCPaMpc7EH1zxbxnPY551QZhoMSEkC9Uuv0Qo/YHma38AGUHb2IfV
syW84U5L08D2vui2sp9bcNjPM01/gDFfYn3orjBlmxu7Jwh9ROJvzAkYfpsTgE+d2KEHvyW0lXke
OUSAOojrzqGHX2SUEfrSYHirDWxlk4bLrcinK7l781bq5MDhIO3JXY7iD+BU2aGXtsDoknknv3vN
I9IWYyMJt46bEtfrLGnEpMWw2RDhco5TstlDWhZYRzlg8AbxyrdMBcgOMw7TENH0cxNFxIYWwbim
L9QgRAfS0rfg8QYsJiVaio0dc36ZzRD3j+iq8VbannFIMgbxQ4EbxUJzW6CNVEy0GTFluFuv8P1n
n0NySrpnUzftXbdcrIedjF8wOpT06E53DC1Zq9edV9y6JmNqMRnt1Z7uTGwfRy/hCJ/gLGV+ZqR3
ctlyY+0jLSm6SVF2jmNmMBv1CUxpMm4Li6tTDu2NSLLAYxl7aZzJRqCXZieZ5FQKhG3jcqMC9S2A
ohmnSaETeyHChDN35OArn5LjmOvXFDeR3xb5xSfi8AR7YDhy3Jv3lg8gQXFsDrJyfpOuRfqHl/tP
vRFfi67BMGuhYpSjU+z12bjvWwp/8JUVGpR0IgwGQ6xoSu285GmQHiJ36ehfqsIulqm5++oXYNbz
CqmhFT0TWn6Jx0ldIrsnbDpxewgPQKWkaAIVluNek+ZFMjf6MunRDrGks2lYkt4auL+vYoKuWNvD
XtBAOQ8s9cjBMr6lY01ycs70gEVo4dH9w2jQMNs06ewAicHvkNet/wxlPoAcuR1Zu95MGf2EIcdU
aDT1Xa0DdbIbEn3MCtin/oEf992GJHMM/VY946i+0Fp4jisrPpLehadu2R/WPYOEe6j2ercnz6oE
aZGHpyyCe8bOzR7fpi+iqfWtRzsD27BoHgoqU4X2Ev+5grFEq4w51NdBdsbW4LyxYRjf3ESJ8cwA
XN9lBfOcgdrtQGeLso9xJxEo7SMmFnGqSzoVyYSafGjK6bXw7Q8Nq/YmIWg2YJ1pvsw9q9ZiNudg
PQhbJVOl2GNNZ0/d+4gs5Zo3rR6oAWGvKphsNompBT3ZDde5dV8lycrPhe6Lq7TM17R+IOAuekLW
Hj/7DcEisogNkoh9ZAK+3pzFWIElQ7zB6Wu5sJA1/diCBPXnVakgZbgxCR253XFKiBP/ZJEyOW/T
PqvP60VRjJ8MfPq7CQmG8OPq3LsVk3s90/++mTLWPo3qSrO5PK8X9lKp+UvZtW4huF2ikzoa4Pzk
k02CE/fs2TSTaZe4IX6CdRu2F4awxoKuZmrZKYwJRS8Ww+164XsxunWnvhhdrZ9aq/+ednm9T2ZS
XJFczMW50+rivG6R1uJwDHc+Ja4tM9gBXUkE8rI5LZtxZPJGXY5GsrXzHXPl6kyGZ3Wel4v16s8L
G6IseRDMamM7Lc/rE6xP+OOp/nFbI/zd7EYYoCjAiN9Ns3BvT+Pr+rB0vW19AlyjvI/1Lfz2hGmF
OAsx42tNj/RcOiNfBDkH9fnH9eXGSIIGGxFlEAdktVsvKwp8GBT5zO5ILF62fl4NpcZClai0325f
P/7fbvt59ef/txjz4Dz4xzOThkmmJKAIlvZ8gfLnt7he17SKbyJuozM7v87gEoPE6mVECe1Y287O
EWTA8cSy59M6fFofoIlvvtlWp8mdcFeQL//n87qgDBcUB68TwlBmMsw965YBeGGvJ937z5vW273l
YetW63ttoNzy9PPp1tt/PGc50fgTFfq51R26mkiTxSK6bq0X6x0YErVNlvYChfiTz/Dz1FWSDi7+
jT3uZgwAmFjPrIvIjbCy0/o1y3Uf+/m1ZulhWH5U6y8JvEl9Xi+GZUs4KmVKEsu9Fo3TGaX0dDZp
z9PU4+rPi/W2XM5UhhARkxTr5abLchCVyx8SJfxI1gvlAhqN0mZCLuIVL34yIHVCL5DZDJDRuWAQ
R9dEDDjs9oPrVNVGxbT7fB28Ue4Glm+j2PKekX43pBI6QZIXE6do5wDT9XseyxcDeJqV0oIdp71i
lL+hdQ65MTKQHaiABZp58WxKfCM1tooKb8Po8CWLzbvcTLwD/J7vYOQwnRjti1Pygnm3TBb5TWtF
+clT1mkoWoEjVkZBa1lXwe4GbQqhXlSjPrKhxtb2XWcmEbig6CDnpdkchzdh6sizyxvcAJdU7Td6
cczKGYxuEIClVcg3wxOiydi0baf2XUj3X8GEdujcySwDf8RK+xQ61jUUotlYPX4mZsM95IrWSe4A
nF2EAgpCt27oamakPdyJtv8kMvyIKgz68MUgWXEH7/K9sj91AF+2ZecDIEjfOVoDAB35e6I4SDQP
vVat3mfy2zWR83UzmPXg8m2iyn4xR4J19EBv8wRjavfukbgN7M+FVo7JACZKOm9zxQRHmhQLnMZj
Ytak3QMQ7IkM0kJ939MDukZh/BUHPjC2PjPIy4F6jdgiYXIz5NSWYXgfe8wTI8VSvhDhxq0IVPV3
Vib6LdMcGjKeZ5JgPJxEpy0xJCbcidIA9Zl5TxmMXcPik2upxM6hOZy0qMfW2ipJuDBegsI3vpRO
YPqUWVbOEr9qwkMLwyjubguo3/syT2Fr9NXGY12z62BqU9NmrUeQahExCCSLTFgGpL4cU1pd90ys
6EqaZnz1G+sJs6sPoKnrMaamj7SorvztBEwqEsMRUyUHN+bTa6B1JfZMsLJTvPLr/MPodoTQMj9t
GXCzwD+JiJ3LMDB7z4IZhiWDeSCezen1bxQQLT9Z02h27NtkchcRaAwaXLg4uuqT6qyCnnT8La5w
wKCJ3qGQJBNqgUpaufGoXPt76IQ7G5huSsBk0/EZ9w3BV6GZK4YoeRg0kzgKRF5bHeXOQdeIie9k
N72YWW8eJk1Te1bJZlDIQt81dTkck2jyt0J24nkCh5SPenGZMZCSxpvbzzPm0Aem6tBDKBvWmyLS
YRtgk496oUjamWx/39bzFzM07Ws+d+7JTRbjrcC6M0eme4rsaYkhkjUT9FA/MFdE0GmHzxPq4pNP
kbgBScEP1Ipdmgc2gNOSnMiQv6AVVfEgnGJ+kuA3ywbOoaZCVjw6u42Pxg9dC3olizHadnDb4Xma
VHI7wAXmRDE8rxcd3IKpBepLpnzIMyW1hd/b8qmxwvHZFQ3dfj3iVDh/YGzsz2Y8xvexpXkY9w5W
FZocq0DFue68/Ey0+DGSZBoK64Y4RUzB9nCpZ5sZAdm+YM8fIWm6jxDLDiqbh3u9N+H7Nu9Sz33u
gtE0Kau4c0TXUKgb48kzUoujRoPYBnD6zsgb0tz8JihFa90aVHZDWXQXhN9vrHfSA5geOpgILVgu
ivHGTV5zEkNZ/Y/NPmwB75njM0KPDmvlAlvzfJZOFcvCTL/WjieukA3FtTCRK07oGg6Ophx+yQlY
MjhFtP3dbRxJ40YY4qEe4ItqTjTtaVctbPxP1jQ4V6vzCLEa8uM811iFcjntcEpUuybuFrV6Lvfo
wz9UZj6hrIAUQXseWk7+4owXhWfxyYaKQNLipxy61U3oq+qaaMbjqrqpIXiUcYmtbm6Og8PL/3tl
sfHfLLwYqm13sWuahqObv1st5sFM/NiFV5saXgowlKF3B3Nxg2bwxUO0+DTlbbNrgITbi7hjgv36
P7wF87+5PTyCIzCO4BsFxqBbv8nZ/VB2fYKg/5hryJ3C3rxz4cnstJGATE5kXzKT9TmCgOrgl4O8
FX609U1AU1qFM6qtrRxlXCQvi9gUrFx+N3jRM173+US5qt8uKtC1G/XvP7g1T+YvinfeNVZ03BPo
8AWq978q3nEzZFZSkgKT+p2zz2zDO0VDeGtYM7L3MhOBPXjlbhqME5YqGVA2pV9m62gI8DSjuglb
4b9N+8rw5DfH1F9Lmjk0f+wPBCq24PjFEphuzH1bwmwARDj/D2b6xcfzV8U+7983cRF4vsOf8bu9
T4Gpz0YDBHISFSzdhVbu4q7lj7AbhmxKP6HKgBkQtcNhztzPEMY5PIhrAq9xX5ql2KPtvxm9b3aa
NEcQBp/9pQNSJzCZivE+maoqmKpy3La5tIMuAQTWZX/G4/x/C9izqj7+8z/eWOUVu7jtmvi9+4ub
C/YBZpR/bQG7xkXx0ZYd5tMPDNKdOn3/z/8wf/yvPz1gnv834VkUN1R6S6APSVZ/94D57hpypRN/
hb3EsB1e6+8eMP9vFgQZG9iACVTcdjGC/N0DZv3feMB4mb/uoLoPR1s3XbAAvD/dXI9cv1hKLJn6
eSewahY6R02GhZU74N0sxQDhRrWolS9O1Vkf4STnhEgkl2bCpgFP7j7XiZlHf2BiG+3vGDZK7UWE
Tu29jjB32j8iRRTV2+xag/Z9SDw6xclMqT5bc4u9nrxYqgTcSkZNWoerJYx7nKx9atAhAwu02/Y1
NqGD7nHCyv6IxKnGHRBhlT6g+x7Cd1v2U7TF0h4xVJFDdpdqHuPzcNQkAC2EugvFA0fGTe/7dYmF
I4ZGoXtSVXcRTX4rwAJtm7BEcKzguaaTgscrK76CxtA0hIksnsHoMd7e+niaxaYuIsHQHC+Y8cFZ
jKxOqkg1bScZ5dVG1lPHQgAndrt14r51blSGiE3e9QX0d20/dpnftrxaovT2JCO7IIM8yezYeMuH
rpMnfABwYvQ2Q50NFSEFJCjzsQlCKR4FXbFNYs01pUfpsmK1lFkxOyI7+JvZEufLqtvP5JX5X05k
TOaGJgIewbQoyGc5URnZjh9+KfIWkr8etmhRWtvKaU7Hhjr744SoFs+dDRoRmZp/38/SHV+s0aut
p2l2DPmOpkm8R/6YvZM5MdNkSus23SVNU8WHzoaYQcCo1X0laqYHP+uP4W3usxY3gb3iQrKRkBjo
vvZ1Ak5q25Ml4m15WfOcClM8FIADWECCUWVVjVA65WwTui+0Y8LxUAxVNz34pEAZSAVRiu5MU+nG
uWESlxPBaKVpT0aqKaq9mDunup+n1o73saPMYtPUbeUwVTThCIZtUqL37eXcKkjLQ4FKnlkMDPPR
agHTk6qLLKdL/QLOgJ9jhIkbF2HQEEexdsmRp2DR5cQebUWFFpSljYOwAS1ziyp7MF3Qf4k31jYh
A5lm70PqnQjnR68Q4cTt4ik2aSXfVtVgPCWiMpMAPedYX7OujaKrNkWT+4p30DePqsbFdw45oliL
9dKh47uP9YpvBSZw2o63zghCzVR1snfMIT7TG9Y+V6RYPw2uZT0aTRvttTC2ty168nsd4eENvwAS
KDvbvjNQ6Uj+ziz+ngGBfNaadgzGwpSBbY7xNyQDEchw00bY71VYj0W496HaBGY1dXtX42OePYcp
OhmkDWVmZ10EortrHNF/xM9s0eqnV482fHrOGpQu8NrLS+7WLinXOuD0cASga0BhCmuRn5CHjk9O
HYW7prPVNk+M5Bj1lnnSw8h+1amS5Ub6sX3bztaHyEfYxW3W3AptEA/QAcKHcQCjVRhG8VAVQ8Tn
0cotAKn2gZib/tuQGdUJa4r1hNgHTW7au/LqZRMPzGonANtjfM6JjD1a8P9P+NwoCyHGHSzaIsfU
S5ZJIjnnR1Te6VGDirdvWJbekOMC5boujeQx4wh518zMvIpJJPu696N7x2mQ+TRJCO0QohlIN9wo
amqO0Dzbo+gpLMCxOjsywpqrxa4YDHRUD7il7PsBAcKbGauJpyqr1yGuunuPsLFDU2jqwMhhuJsT
VGxOgpI9lAACbDsW97rdmaReS5HfppDH6Hkn+h+5nhRPyG7bW4bE0t84ixF50+u5eYIOon3Sq7m9
diT6wUNUyhk2ukyre2ll7oM/hDSD1RTtTCt3d5GFJCAfKiihpSlmVKBWu7cY3Sz5tXhfDTLiZjCI
Bye0jC1SHkDXDG7UkcEHMkgILjhKwTV6rY34I18m83HvutsR0tN7b5gJe4jO4ZY59dNQNs5tM9nt
LWPVch/y/RzNuLJPYZ5OJ7PqtINIE42qHM11HRsLZHK0dx69LWY/ZsbZig6A10U9/9d3d0VISkEz
ElCfUjbc6BZCV0odOEamVQUjis0dIQiEl7pOc+s1nbmDkSdBnGfqKntP7U2T8ruep4nllZbs/RIc
gb2gmZi7ia07acYuz+KJ4Zlwr1lOPIPX9kkwscDEoTDVSNEHPTDncXoIc7255TNwOSQXSRKksKgD
aEwkWFQGQxk1m3s/9MxANfWSQjxXBz1P4l3RCHnQIjzStQlsmfKxu3VV1cOsUz2TU7JSZWYTxsFx
E4m4y3S4HAyWi0N47Y1owGDnmltOCMQB8Is+iGgOgxqN5DYUOh491Zjf4XI1t0hSwBu6NjBXrDyB
B0xxW6WJ2Gk5cHfPG6eTlsaC5nRPOkliUVe7Pd+4UngStRFcVN4XWOEs4waan37K+8T/5Lq585I2
nnmnkZq044TpBqOfABvtOjqpzAZ3/Lw5iFKk7rOOs0VlS3WoCQz9Qwr0qFiWCIuetebR8xRjZLs3
9snYEtYAaR0c92zt0tmDRaWcRbMKfL6f52aXDP2I5jCr9lqfD7cGR45gDpN0TwItbS+GeEEiQMAV
MLb2uU5OoK1Jhj8lgUTHOCJ4LUbZch7aqr0uaJId8tZ+J2n57yY/tHZWObM79ANEZtb48yUqnWw5
4ZKy7PrTLndgd1MQ4FtLaOk5uNu2bpclO9dPmv0EN2Cb47oEu0eKxURrGf1K0xy6JEFfW4yQkhIg
EHLMlxPIWF4U57udEen2dqoM9tI8iXbZxIg5TcgXp5HYJftk0JfOlE5Irur7R02DkMUktcBoVzqn
jsboQbPh+oX1HCLe5jDTWr52RDhm722f/Ku4wJI1pwsYUKi0fSsbVM2JPoigKCcL48DUMxHT6ko+
0C+uTpnnSWj6Xtt8qvpyPljjXN0KbCYZWcHwTnYJSGbz0Kbo865TLJAY6GDlyDIzUH4fJ2Ma5xuP
D4l0r5pJ3PMk5gpBI5jwbkeDZLxyUs/KrWVIFnGOIMCPOZuJ6iIRvlHTHGsGZdM5Zk6tKf2mh8Xw
LZpxMzJNXJf2/6+roOCjvH3LP9r/tTzxO3LFhr5F919/vdr+uB59lAtW4i9X9msh8dB/NOrxo+0z
/itP9Ocj/0/v/LMc+R/rG9cjavHf1Dd0eN6K36qb9f/8Wd0YuvibDj/HFTpNRYv42X9UNzCp/ka9
SzQmkzVE/jqv9LO60aHL6fRBcIlTGv9S3Yi/WY6wAa2Z9HQdB/jc3//++x9tAT66H5/Hn9d/ZUsg
zfoN5UDjADyWxT/L9nAA/e6Yr+YyNcNQyTviSh5CA5iQnpbFseCAvgEGjvmudJnIW5e8h5OZDfFX
j5rnbOE3YISPeBdtT68Xw8GYI8ReBWHlSIlZSn3BOPUoqibZuoMgpYIsEgwtyLc6n3T22n1t7fIh
H+07XxJQwoDN059T1X2b52xfwrnaGzHcxbSxvsh0ei+QbDoi7+6yVOkP0td2zAw2qUYcThb2HiT4
+WhkYtoPnUBjXxk7K72v5/lVg7doKS0Oyj+isdyPqgkaD9mC0YviIJt0Dmp+s5jOsiUthr65dAhZ
j6PPGbxZ6ILq+yRouPLpbb1GQPgYvA0iQAwivjpHw9s06+lD3pFC4EPaaecmuXFN96INUhx7lMMs
mBQz9FEA4/LJLkRIWQwZRZqts3ZGY8DkF+9aUE7YDGPMfLloU1ru5cSSEsK6TbiTDiwukD6cMrp/
WHP5y8VErhQS5yqyHXqFGRKgCq55PxLhaJdyB7r+XmaHIpvsu7pg1FmlRFAJ0qJiy3/SYrBmc6Pf
dwPQwV4rCPFJZYmT+InMpWZP2i0qHJF9Zq3MSssk46Jf0nFi/Myxz9lPVg7kbs87WEn7hVMV5JHZ
KvdFr5+JwxxvqloSQMJ50CAGHiZ/eYidhrw8PgEQVv24n9yvRjY8OjMZeGaS69tCRIqerdlt1Qz0
tvTUXQ2+64IBg4hBKs4p90ilUieIEuKoOHXt57R5dTHn0tvN/Z3MzLeohKltoU2YEmZAWSqLnZ6V
IQwrgNXSmW41C3tugpp5ihlZWoVuHwpi/TB45Qd+KfTI/W9GlMAWSt2vxdwV25JadDMomsKwBIAb
bNGgv9EQSHYapnWwIcltzZh851SzA2D5hiAOZngVwr0mIcsnQ9OZmX/4uqxOMu8/6zHc/maq6U+T
dzaVLF6sxuyglUeXzkHR955SmZ8TIn+w25eIOiybfqKOayqW5oNfpixem6F4lPI1lFiARU3iURfb
I+8H622Sgwhs0erXE6KE+HEiqceRLLzFu10zWCB6TG/uXG0sDpEBRxPBg8SPkLkGAmB0zohBt7IB
6KG88pNPz3hTYZrLY5uoJr9A2S7ct7wJv3ccwLYIUQiuUOYhnpcoPRxnQtkfbkEciI7wt0sgBpKU
0RPwAI/CGFKy+1oDdmrMgt0ADzKAaSKtBtkDWXwRztkGIrI0ks+17U0nt8Iq3xCdOvVFRyJqHe1F
7u2bmClPuMBZCM7osVse+daAo01uhBq2IY/Q07/GcQczBvy2Zx04AhNHaX/nE0ff2pnGJR3vO9gD
jUHqyNC5A2tHHU2aOE3ss010tEKHM6deovmLxzd6KIey7aej3cfYtByyP2lYlZBrGWllQzmeElN+
Bt9+S90OTNdzh+1QssshktIJUustQhZQa5UCU1ZSwjBusVuB7Qgqn/AdMlgPqJLp42efI2omnLyT
RXZCiCBmQ0m/7xu0spOxYVInthBWu4MptDfPyh9TYkfsIr5DWU70CnGWhKe3HWGl6oFp5VW+xPE+
ywxWxAl2x0lH6RZ1QT225UF3Yi8wkUh1CmFZI9R2rKad1p96jBR3MjHTM1Eq/qboB0JAixgLDikG
4wIpx32LU7s9j3aTBX6kX37etD6i3YRYis4//s+P+5b/+Mt1U0r0N2AHUIRoAwV6OZ7XLWO07mfN
+W6lYZCAjgjMRW1iTA0+g8VhsF5dL8Ds5ns7En90wzzO29pFy4rI+Y4ajmCLtNQ37WTzWwBffNfO
7ckxYe4PKPVAUiBJ5EC9cySLfs8kzwdB70YnDGYbo3nAnorkwOtMDzDmsrletBVOopmPYTvb6O3X
i1WeQs+o+HF1vY1Sz9hhrqy22jS7DwanUYIJWvjzHAmTuXm0YrwMJMQdInN+LsnestLSu0WRfpRt
nB2V6O/0hau+XlQLcV1E8oR82QmKxkjPtX1hv0rP0nbu8Z5/6sL8ocUvSNcADXUZXZkfo+ZxddjK
TRXlxyY1952xfHMw0A9NFz1NTlngF15ua+vl22zUiNPjJafyP3tQZtJWHaM8PhKhEB2myXtbRKAd
5cyFUvKPUil7TzhPEiRue2fP4Z/imHRR1+juLaqa+SQspvvHVU3jmu/+4KBexGwGNnre1Z20N5GB
Gmm9WEUVlOG84XUTnQ+hM1HZMXpQ2GsaZondEhE4+ZzAU+bDlcDs7UQa31C/fPyrAIhOV3oWD649
PQlkW2fijaVDJRk7klaAscibneHEj/OrbuglxZVziiHlH/TMOBLrQGrU2FKqCqDOQ7iYddY9AKbR
tO0ESRhG5v35SuvLrRe/3WZGfbMjV6ZnVNvl+j5ePpG8TabtXNFgWqUiTYxyMo/rj59Ko3Xrn0mQ
ODMi2SBCYUWKrxdzp9qdipuBnanU1FYQZLBJGpIv6IJOVbCkZQ2r1mkRKK2KFIte1941zM9FOsHn
ZXeYNX6+kbCqfa2bf5honbfE/oUQuCn4VSy/yUy+a5P01LZePt9p2eW9RZb18yoZFkV+XO9Bw9PM
+/WuvHYcyr2hWVCjCj3lj0es98GgPoihJbezVeL485mGgtAozK1MPpfXsZbf3Lr142l+vMRyz7r1
y8us1wnreqGvyH76j4esW+vT/Hg7P1/q52PW22COYmBAnhHkifv1tzv/5dX1jt+e88db/fFy6/0/
blg/s1/+jF8210eFXo/Yn0is6SZrtPKXD+uXJ1k3/+lf8svT/XL/L5vrf/158dubxl3S4zIgyipj
YV5brbzQpJOXUhFScKh11BgN8971jlAZlfPjMXlE3CRdAB6+3mXnL/xI+MlL+8lts/oALrg7exl2
8M0/32wrlngaQwVakyEpg/BYdtbUYbt2SwRZmokLd7v+1/X6emHIYjg2oQHYeTAQEsOJ2VXt1G9E
fSFrhD+CynhTtaa+A9ln/G/uzqs3bmVd07+IG8zhtpvspFa0lXxD2JbNnDN//TxVWsutrbP2Ac5g
5mIGAgiS6kyyWFXf+z5vYI4jMSW5XeykP2wpSbfamNyI/Cipb52iOcVCQiUzPVxxysnNGfoLssQ/
23KnIs58ufbpKdWU94cR2bUiNGhy0QopnlzTM9DwZko/gNny4iRfpGLqfNnK1TEk9RKAKjLHQu6V
qx/2Tq7xUlp0SOxuaVBweswPVpC9pectxk4wpIgleyQVK7o8PKpzpj8mI7Yk3WYcJK5buejFWkpn
eGOFWAP1Jf9RkkXhpbADqVZcZUy242kaQNzQYmhUHfrR29Zu3ftxRYS1+C2M/q2YlAIgAK8lDWdy
LeyIvjUdDHrT2zp5dw2U1feoFMRZX0LqNLtSNgjyu8mfgbbXOfK8y+cjE1LzxwXE7+VXrKU6VAS3
nAoXq29oFQjPhcyUntLLqKlE26weIkX5EFMoFVsjf6lnzQrUNu/AMoo2EEJds19c57iExsPcMulo
oeToE5uZ9Hw+zEI8Su2jxAOpQVZB8qT58lMS13XTGpmxk68vP1eIn/jY67erQXAF8vn79wf+ObRy
sxyGn6mxJJu5qqCqVinaLfkug5CojuL9lC5m6CG3Mylh1YoDcR0LcOhuUgOtsAHTWH05XQ+qY2IP
Q5Drir7PJMSDnAu/6xio/OVIdPKl//3AJK7xKx8X+uMg1y1KmFwlDsZyKUEl6bHxY+6lNT+ZPDLy
tI7UEfQ+wwuShd5PWfk/uVhE23rZlN/1/YQW5+8/bcoHy4fI/16e++ml+nKc6Xtcy0tOnmvyw8hN
eNbc4S/bcu1954pplTw/J38/XpEy2AcVi5V8iHxbxppCYigu3Vleau+r8vqWn4ae398XYCbf6PKR
o7oETEQ/UfGGr8wKc/2IayNWQmUN5GXCtElFsvBifqvaskbRPmYUg2LmNuXD31cpURWnZBsSPUH3
STQM8kyVa5fFZd+yFuZu0XTkGARv/XsbJL8YcXPc8uWqJ3sncvX909frjGPyeq76fDeyDlhmhWSO
URB9e1cdbfOHKz+I2Z50V1eP8sdGyoJ4VrzV5be/7HMqWL4EZZDMJh4i/yHf8rJ5ea5cuxzGyz8u
r/fpuUn5OGRKRxvGTyMbTupPbXmQ2/LK4xfP+iu5/f7hVwqgVCcnlRIOR1Ye08u55a3fI0Upj/Ic
S3RKe1xKHIN4oFCxlSfiP6/Kl3hvquZq6Q5unfsEjiAeFwvZlshNuSb3XTblPlv0gv9Hj5MPnsKf
E6aAo3x/+flGeYJerplQqt/fT2a5l2jlYQ0uT5Br74+Sq5+3P7zqh0d9foPPz1I0ECNEGsOjSLey
wZe3Ebkmn/tP+y4Pkf/FQccVKFcvC3k8LptyTT7vP75qrZGr/OFl5AM/vdU/7fv0qp/eKRIN/qwG
7RDjvJZde2YSjBEGgrzWL4sV2cS6BWHI2SBagcvism8tCi5xud30BqvvD5LNrXzxy0M//EeuhmZE
KrMBg0Oe0fa7/l2c3PIK+rD9vvp5r9yWT/14eXrOdk4Q7WerxpQenePmJ25pFF7mXU75gsFTv7NK
QvD6hsk3b3ok5NTAUD2ojzQn88aboUYwL1wRGDA0j3XWHc3GUDerZi+vpVkesA8rj8B4vbtRrxpf
D8cvWYraoWpn2Gcp3qYkYcbBth7KOdX5giGTetAizyvmUt+J4NYUZnFeUREECvMkW/Bw0dYdi2YP
AGOjjbO9U2Qb9/kLvzcna0kojxhUrcVMcXPCNCBvr/LGell4l7vth1uuXP2nh3/aJ2/dct/7O/zT
897fYcq8s93tVRWRuezSiYUrr93LtidvRkydMy0m75tiGxAmdyi58x///+npxLsuvmPj41cg9DFr
I56OdbVMb+UjR5QnO31u7uU/FnkJ/vMqZSaIpHn1U0taAH9VQjT3Mm1BIw5CYx5t0yn+6ZTnQak5
0NXThGyYEMWXDHvhLunaAxN2YFdVoAaMo07YD80nUqfutNaGiezdGOX4HXgWIAiFKLCusF6twXoI
Z/VnTcgYVArVCRK6/odJc6tttzoxyaMlkcrl2vmDFqu+EoEkaDokQ41FmnSRkh7eMM+475Xhqv1m
R7G10yN6huhUIHh1dxFBcmA5e0qYSyXAW33vQ5WFQp93By+kdqtZ2ZXGffbALf4lswWZt3IsX1HC
J3sYXqOYAK0oL2DNGro/M8/GLB+1vpKJ8E3jihn4ELyx59hcGPNMSmm43IwUbA+KTYJsqRaQMbJo
KxKEg6VmzUJ9ZEbTuo86/PlmF1JPNas3RfNuTcW0GSr3e7tWfqMKX4JC0ZOgJrQiARiZU82DmsQQ
vK6cO0LNv2Mujg6InbdMGARdFT4PdnPvFqnvpkmD1ItfdcyTrf7D8Eps9Uu/br1GBYNs7Zw2RB1a
lG+LS+SJAlupQvi0Y5A8BEtW3jWV6t0y7vvpkEJ5UivHPTgVVBGd+Wttys1jPsZQAPB/dYRlYoKm
1GGnOx25/jYiyZmZmzxg2MbMeRcj/SjtQ06amZIKH8mstrupyuh+UkRAnQbMokY0ji6oHF0FdzvT
FprZ+gYGL0whxpepatwra2lM3yHRD5XSo7dSUHacyAtM1/uSzv2yFYqV+9QaXuIYpUAxK1/JpQTV
52pfFZgjWwR98JQY8lwNWnhdrm25QywkUDtAMOMEQV9rrQFpk8RsTube9RrAHBaS/zXT/Xo2XdI7
i+7swE3a20r5Ct6yXOAo6SiSsOMgEmZOj6gF7TujT0aVEDZ3ZTceZmg3fN2ZSeeSaaZBAfymjT/s
CT+uZ1ankezQc2NMO4N8l61o/WNDtHrMN1HmBo42MCebl2cAafvY1IZjP5G+BwkKuFmg1MQNooXa
ZUywNkN7KG5NsOCMc6lVeFqLtrd7KzyrC3LN/mqCxVu78s2ptfjHYqg/0npG8jJm6QmjdE8yEIwI
PdFuerJLkdXFW7OFmLkm7hcMsGdnYqQCAAMGWHSeW4QmxKxs54oK26BX0X4ZfkUE5NxlExYfbTok
EBEDDEAU58ipXshi0O3pi463YrVL/ZqWAtCVMUARU83XbIZfptc0/23TvOSojYPEa6mdY4AkMONo
LZxs2RB/F6o1/Kk53c88DdrQfKl2ejV128zuvtkTpYR0eYkmZ4FLosNG1r/JFItK5Fogy1G7h6X+
WTZWfJ+qhbCll+S9dWR1WbGyHfFHnR1kLVvNnl51h7SYgTli3PkRp7TzU0NDtBuVIru1Lcx7Ngnm
DjgpUOfO1yUyCyGtw5EVYr8HdLr1OloMHYJYmwKdHUUtEeALkgOSXAqm2ooZsn24rOcca47TZFdM
x84B5MHMZqyp5c8eFnQmqt0SIixoRuWLG/EeHiEXOvOepWXtTSO7113sOG1yw+0PehYZNw1WDo5j
sDRfKrXVf0ZYVcbqGW9s6JsuPOkJolOX80MqGmG0KQFvLW/nR8sTgcDP3gRWM1+WYNZp/Olg3hU4
7ifUfoGhYFoy6wLTtIn1S2u4agfTMPjQ1tNIDsepCUGKUj7KncAouiehotnonjNtwhVjWAvu20zD
ez1MgqrF9eIOfeejgrgi74RJclXhR8Cz7w7JAT3DjFFbAcNndtwhFu5LRdSsWwoAy5n+zKYZ299I
Le1DAzu+R3yzhrWLuxhTS6KZzNOu5bFvW6Tq04AYyGREaOvmQEGTqzyqiEjMoW3sew7q0kzTNcSJ
ZuNSZCb5kdl/r24PiaCUp4PQTiYoYGJAsDwpQmFWQXFZHVw9zWz2vuu91j01U72lFBSp0W8l6n+i
rCC8yLgfgVcc4QcDjW1x9pgZXJuZfCcrjq4Jtnwk8Y60rwXM86AYJ2P5jhBTucmBdOW4qa4nRRm2
ZgHnkqLcprJGezunJtHJNJY0DRunGEPSEeEM9W135UaOhWxtyp9pH69sr4i2kcqJWi4I+A0aK11T
aoRI2QMz835PZuAekiv8A8NL90YWf0u16iZ1K22DeDLjJWG0MJd/rSvjHSGGV15L8zaE9g9GzPuu
YbLWS64pisN3S+H6UtajEBpG17qt19uhcW9CVUkAV6z4qEeNapU931uJFe9rYTWD/ncwytK7OmlA
dDYzl+OVqjzm0EI3EdP0hORAuzOSZ7WDUk2sUEhVXwGHvpsR9uGfHQ7J8jSqdr0dlfsmz5KTbtn3
mHf2FOayODJ2TB4ZYIeWszdxieM9DbpFVG/m4RvVbS5QMqc3FUasQ4hq1iq0x2yJ+/soxCupg25x
AdAOOb9QSePSenN6hfjWw2kXtPV5mjvvAQzldGxNEHAFBELAe/QG8CoWVeWHHpg9dTllVJTzUt+k
kXW32MlIM25kPneok472dzvl9MfhcgalDtGx7gscQsQt+eOafBnQrm6WgkyCqgHJs5Qe8l8F1aqu
EBDZNc1jqN05a34DhQx5xTdDRGcsxsjUlo7iLF5J+YXAwcSPZVGLSsluTfA3NbArOamHK2vUUbEB
dVNeCDIDym0A89dzpd2OSfe6TuqmaY0Vy5lyl0DK8csyw0KnVbrPvWtf6jUoL9d6XVBqzEV9NSmw
pXPBGjTmIj/AlkLhFx80p2yORFeQGupkKze5Y+g0CpX9eDh6Nl5KL6LDnMTY/ZS7eCg3kFtpJyPf
APX0kBq47jZ5rJg4TdUbRyFOIIQx4GUUnzALEfG3fGemLdyMVvxWlyvEYycMqNfySyTwb4+VE60c
IAShherXxhdUEu6mS8gOBTpUc8dsN7hm6WDW64m7EpXgoeESTJZNWHQvI+oLP7IAelsQ5QYHbTxR
i54X/y6W7BWlCdn1zEuc27J/0BfD28XWiF4rcn/ERfbVKsIsQBCDzNNx+12Xz3STNOtL7DwXjH8o
R2PKafOa9NI6ORcWgUjfnChu9slAb35RrpRpnc6TqFUtJI13Ff2WqKcrRmuKADx+SMbuyqlWDH2h
CFwAYJssNMqN3uT+ojlUfadxqw0iWuVONwzU8tPw5C7u77aB7lkX+LK9kVTKGISSiNNsG4KT3H7Z
txb64BX5QjbUx0S583QSE4hDI4BKb4+6g4EzTvHTRbN91DvPOjO4YMwAI8MKTzOHCoB7Ze6Ul3LS
6ahXXnVF9PmmLNwjd0PzS0Lr4LhHWvRHSPIQa6vlSsVQO6seQQLTz3UwfwOfG+F8r0GSIh8qzOs+
j1N/hTqcKqO3awi3AmzFJQwO5jiF4Y3ajfomao6OqBUmosCVDNO+TJvWV2PM01ECo7PA7FnnNH5G
N92Rl3Hy6AfRq8rB9Cy9zw/Jee9NdMIzda/Mw7gxevUwp4V5D2sF0QuF0PjgKfFruQiVagT9ECwS
es1Wuc0jbdfWQKQga970DKA14nFusmTemb0YmkAYTBf3G5l6FAiNrN/Wtttw9ruPsd34Cz2AGY5s
6iz7SjP35giueABMzmRsl/q5PZ3zcg0iypJ+autPS6O9OWuU+7WVMlhwwpxcIKPYkqOzZ9jw0lS4
0wc0B7lqd1vJY3Mnbp/a2hxgye7nASUBTMKZz3/S1+GRhHDnVKZ3g2qIHjrkDLcsvmPFPTuYa8G7
NhmQHFQWg4arknl4ezNGx3zgLJz0fr3x8uILwZ4/LaimL5XrPTdt3uI5zN+SVAG+NGiobcjpnQ3O
L3Kk28zSn/LWeSbvd0OBVAt6kqpPawmOpDTKLYizaafO6JLCJjqQH/NU92bxpetRMhdYt2dw6H6a
KI9luiQQTAmdrhYMbxAqGautz3bcNoE65zsiBfaKbaWcOVXno+hcg3AGW0+0DcqVqiZRZbS2FXN3
WuyPinEzGbgzG4Pgy3oZgcGgSVXGajvhr9hHDnhIm0ylIQdU2NoD1ESTjo4+z9M2smCLOW2qBGN0
r3O/IVMRwzwAS7/P0HxpFpgxJ0asom3WVY92lRUO3M5IO5gbUIA43OhyxE4GFr86QfBJT+20HHBd
9Fz65MYtPZPPuXvOVCzWydBbzwXDJWxz6rZClQZGs80xi/LqY4MIRu0LwO54VlrKYnNLPKSddqNf
RKjH6Aff9qlPngWDD1qyPOtO+IqsXVwAr0Cjjd9gnfLNGq/2xkYrClyo2xcJrWZRLAdMe/eF7VRB
7M1HLuoqSMOEj9I7t2Q4hzt3NiCg2+rWqdvxHqg5bQPirdgxqZy0qNNI1k19RudccJyBOy2h9Y9K
SzvFnhHvwiV/UlODZp6bFggJZe85MdURlLQwnR/mqXtyk4fY7IkerEocIBlIZHc3lql95Gi0ESit
MN0qXsTBM91VUDQRWA34tHuHIM1KzeHte09x3cUBde97TY/sPYqycu+YMKY0Eq0HFOVcLpp2q+kF
crqQzozW6siKAV458e+c33LbKIu3r5PsVzLZP6jf78VHPKb28M1ilmsT2vljO0/Mhi39weqjvVek
BYiFsvWn4UUPyXh3vHPi7SIL3XTW9NbV76ZRMoD1AgruuA86QxB4nWmNIh3kQxgZG2vlkNbWuGNc
sYmiLr4ZKpDVFiHTPhPDaPDagdvA8Ljqw0uhRfpNxa9326/tjTonoiJQQeyxyi6ATVHuhLce7xk1
WNtBPQ0noVCW26Gp2l2HV9ZPGkIXSwN8qjOk+ZWr9e+RTf+nVcPXyc+26qrf/b/rhKXW9SIi/n9J
W0xqxn+rLb759aP93mX/Li5+f9Jf4mLP+hfp06CMTQ9tIjphXu+v+DypO7YckuMIM3PIY0ZB/Le4
2PiXqhq6S8QBbmFMlB/Exer/REys6Q5v+NHMi22apDzNNDxHNbjuP6dD5cagqEsYQ7wczX6GSg7y
61qqpD4xff4390neyTsPSL7Cf3wZrl5Cs6KKy9jXjCLdyfevZC1aPgnzZroZncRcalxWYX4f5lgI
co+8XEef9o3bbrJ+ar/G01PlVvqxXCcnGIkgRxugvTJPd+S1SC238uFUlu1zcTIddNJ102/M70Bd
y4BB1Gwl9sawhxGYHZlnxrji66i/hi5qwSGlB1ss214xYIiSB9w1w51VC+9ohVVjaqvlFJbjdZ6O
T8wGHHPcYtcYIxDseYTm1BNpBSTY7uIQPmtdUThuscurS6Ri+IAQbH+fpoapx3AmfICScr3YJF2o
kwqlUXktbDrQRe9px8EANjIYbxqD+2Lihsf7MGrUsx0D8XKLlOLaU5ifzSqTm6zroE6rEK/1CUBM
GxWHuWDHSLXO8rudk7oggjLa0L6Gv5FGh862hiNutN+TGZt+NJVfMjUdN8MA7jakb7pDBBoToMek
XP4UcaACx8X0GOp+hb3yMGNw9TUAy7R4ClLdqbxBPO1RnQAgmcz5vlzeSAvxdqPrMUuRmuScW9HZ
sdwnLyq8LQEuTTC2X0vbfusjT92aqtpfL4k6b6cqv2vjBsigCHIuJ3JgvOcx1b6sdmWhJan3nVPc
r7X7ikSaBB9se1RCG277A3Q6JqpiXF7dcc4U0KRMzjXU2A3P+AlNZAkm7LjQ88xvjFNg8k11yuzs
E/jqaofyDtC12gIZdLgnx0QjpgNiYocpm1K7gS9PphYZHKkJ4CyrPZQMDQ6WSAyUUWt530dA/0FZ
xzr3yQqFXx/6mvqzGsfST63vigPLPFeL2k9sj1jXrDm7I1RUkwtyg4W2pO8CdCSp6tu68Gy/dFOF
UxoASGKbtyu0jlNhDVeOwax60RvHIUF/S1xUFUR29YQXoD4Meg3YeBwnYJHK0S4MECNFYDZNutVX
62FeNDozJBKSY2aim8eQZMztqW5aZLMkgXG2VcTrVGGzLWw1xb8f3xTRygg3Vw6ancKzN1Eya43z
I2+LHziu/coEBDSazkPa579UVZTAreNA/C8Jtkt9UszvJaPhjcPgLhjlsN86Evr7xjQXbtv+3gQ/
B0UEDEKWu/cag1k9yr9lcRao2vxjzcdXbGjtwUKHuiGK7LtbL2jUetg6hvEo4ieZIOZYKXCIgrS/
Urwfs1Z/Ee3rxl1Mj4OGz20sr0lVmg/9YIuw33GjTCYwLLr1V32Y/AZ9SsKBEqxelO4roLhBwjyj
YuNQnGJCRafAHIyvell/bTMclQo2JlkBf184CjJ68zkploFur36XtvZ91hMVk4Zxs7W6tcTQ4Kon
DKVkHiZ3DrDKiYBEbuvq1YqtYAsI8jRXXBNOSlBIW6J8Lofr1Mi+9gWaFa4uU1mB43PEtAeFGHJj
KMiT08yrRgmMNXkGZUeEQo83PSU8EX0N8VMo+/0EJoiONQyT+0ZNQUogr9/zXd7WaDSvjYIUwITe
mK43BxIRtlE/3zU5EEdEsc7BKYxk62SPiwKWKnJqAKCedR057g+nUadzy4jazdIDnmxnk9ruQ4Ud
YBflJFxODSHKw0r2jXGrQivdUGlghJRhSFSskEuMQd09UxHlbdhYWxWtmNrgG9PTV9NDG1ozWoqI
w6MrzGR+D4s6Bg2GmxVokSv6euuvurAONr1CbLD436BxfatDuDfDNTZXRpaGDxK09uslzJHQW3cm
Iy7whGS5a+FWnxg+dplVEFaXPGg2Gc4o0bfUCSx61sqPwSROAC2DvtVNfLdkysMYGYcEfoB3V4bg
t5SIoPEVeqzQ4DsmA0qAMFC8kHOMgwMASt3pa9z7BpOxULfCnbi05nVgpGjZS5Clb3qBxgOkZ7vq
MbPbxPkMlfKrmcYXGiT2puPOG7RzFVdvADJuuRmcW0o5G6wTmQ9K+d4j8DYg4cNLFyYrpt+JjqCv
LNpfsR0Xmz6cuFWSNBtiseyy+Gvad/WBORS/0qJ1h3j8N2WaeatAO+xdh4wsq0bPpgWZQ2G6V5LB
t8UoLEOJxfSh+xuqOIM3lMFTxtiy6xntF0AjlSZBIAh9ZMgtoFyKDaDIKrbLHFfXlEd+YJN/aJfl
TBVkOMbjUp7HcNfTM954ev6k9SZBCZkx7vvSo6lNljs64I+NWqJpSbG1Wkw7WisK/yUsVgwwxWaZ
yMMBJUAxgwsZYSJxgEHVzw5+2V9eUkJJBxk9ohXDAGFeeRnXcunOr+BaVQSTxvewCbfmwGtHzvAb
ib+DlSY5V729ojtP7pfiydUj7cQNyDHXBp51HgUwlH9b+ezsXAMp76iPfhgznOst54GXxA2Q0ehN
anqXkK4H3Cs6A9xUzuMQX6k1lvymiEUOK1x55i95MKO9plmusGBNNb0MGJA+9mRnCy8p36pcT5tm
sBhGViN1Qq/za0371Yxe4JnM4U52/VI0BEGMafnbGwWxVm32PV06xO8Co9xHh7HrFr8rRthBFPrV
lpq92Y4tvQvSWDSF2eWO+oLbMEyyadhQk18RXqbsyMzImY4MGFV5W6hyd/QjO4YvQHa8EsOXQXMc
dHBfe3f+HvYhqRNVB7DCmH5FJ0WrnENXZp5frcqrTk4Kfl1nuKKvYMPGw3w/th75WZqBCWI2K2CM
zQ+NkdKxdftDqNgZttviiuSu26XXpy3xyR6AcjVwbFzKQwHJ0YTLuURFD7mq2C89FPOOg8UkNxUj
16x9dWE6FQIo928LJXPqNr8GyAMbwxBJXQm1ZNoyPJjMJ9w0lsGJ0mDFQQ2f7nunqK77uIY/VlJE
sVVOIIxKm9EofjmLkVHhGGiLDuqUvBHgACNQR9+9FNPRWZKBEo5HJMocLswLUrBwrYh5XUXnMlJ0
Cj+LtSdyhynUyAnSNMN4xvt60wpZj+C9naoyt9JNJQkGJDFU1qzeK51RowuM+11ra+1+TOMHuKjZ
2VJqYXihw2DawzXnAH2Q/NhgdAsgEXB6luOb02Vva6r+6FrnSxhT/arJF6JcN3xr4tUNlsG1Tm1a
kgDM/R2C/PJI5TI92IJA3AK9ACcBNYyCM0QLZgfGNxPZCA6mwqdR7zZjzqKFV8Q9bArspLoqjeGn
3kfYBR2m8jxDVs2/FoVb31vpNgmto9toIE1KyrzECl434Kr8VONGDn569A2XaZLViIZz58w76AAN
ynanJX8CeAUBlMQOTMWtVarT3nII+iImoti2K336aFXGrwo2uqptbzDcMB1lmNVBzU1kAdzX1LDa
UYFm+jrsAYVXFC/WSqRYKzHBTkoxbtVa4+KtQMcwTxv7hh2jxER7Q6MMRVpN8Z+j2vilellz1QmT
hVwb9OnWsFSNIICZbiMUjs3sTAg+YmgiUTU9K0uhwMhYzia6ipvY4cK2kv6wpMtwnLht4q3Jyz3e
ZCK1QK/NRWYcHVd02x1P2TByrA96FatbBajvokGCTsfa2k3QIAGyhwduFOe2c3pCJpfk0IXr/ZKO
4WHOQmczqc4JVKGxyTAlIxd2HvKxLikLYRwL00Z9AmZwl1KQm7WlDwCXx0zZO8ECywamuHE11HN6
3YTudUFDMmjVuSNe+W5mDtrQFog0hv2KpS3aqGYYHrK5+tp0q3tV1M0Xy6t90BrOQS8eOtVd71Z1
BVG1Fs2OGUtYHB6euUS3bcQGobOb3BWzu618UYsJISYji11J5g0OIu251wljpobTjsV0M+lldVtO
5yiksLy6dE7JqaafIBYrwIz3xad9bpb/TCJ6HExpj6faHbktYqNgqkZps4n8DPaqteNTcZsOou58
ssk1Oql5meFX+7NNHS/BnyTGDzrmJWiNTUDY5+9UpRSzXZWhO8lFVURLvjFG/SpqjO8J8Zv44E3c
WUoDN8jzCrGq4qp53+4bAiqM9V0+rmVKg/xdqJ6pxPmtSDGRunK5SIyGBBoqa4M5xyPEEkoZVppt
nbnAWyWljgUoaxxgQg45FpEbDFr3LJWwUt52WUxCJyc3F4XynAnGa+hClVm6MoJQj0pSvoZcqDTs
DECc/WXX+xu0TYoCLKZSIxTT8tVCUSneyNXLTs9MKIyrQEj/yJ/pa6HqlWK/1ovWY6SdP8iIP6hm
paysETP0S6zcSokpAw+mWPtutvcz8weZgMN65D3yc0HfrQ1051sNvw0jfpXxRiPSYZA+4aEQIsJY
GJrkQhG/kn3O0BzoUDXoMZIAtMv0lKMkDpVcm0kn1YJEwf+F60pq28Gq0DETKvdatSgkm7PzMtCC
B4ZwwdlCBF6BuakOC4k7UeipB+4L+BgQD56yMucAy229BUJP/4Q6qwLXmvDEUy9sXnLNbLPhYIGZ
GKT9SyzkWt6SkNvr8+soHhqqft8X8SnRjL9OPrmWuMLpOVI22Go4CqjeCw8XfR0tkF+cgyRORADa
qUMKYCK+sczKGTwLRB08fEDVmk0KMHBjubDg4sHWh3A8dSFisqgEWMeudXUqHxc8Y+DyEb1Sxokv
aM2uOIMA0tYnuVliMA9mY3izmO/eeUt//1/kl+96SyHcXGLcttC8cAUKybwn/WNSPS+35UJurgow
LqstPcRvBcNw1PS4HtbhzCAu3MkTR2HIEMRhgfjIxrvaSkaz+Fbyu8wPQyWsegZ8Ssq30GY3uiBM
0yDUpxT11t4e7BPU/o54Oqc7YWklUs41U5oS/cEyyUTdDEvWn+AR9owDWGRcKD4SBI3IUDwYcsE1
/dfaYvc0+Jdt+W9V7qTKNQXewhj5z/NIOlFRPontftCL9uXTq62dURw79ddcE4i2aUzOu/dVs/GQ
tWkDfROxMx1hWxRtQjt/eeSIAwiSKgu5Jh84wv7cMnuzIEzglNBTMmstGxGe2JKocrnmGe1LM/RO
ILfajKm2QI3UcoNcxPJrpYQDU1HpMwTSXD6GQPX2nXB+2bQ10oJsWhWsbPj0Ly9vGJ3i43bBfSF+
W/mzei4/v9yUi0n847L56SEoCa3DWNKiSzMq00ychsCVAf1HrY2/MRbDbLO4rWIazxmtDPNnEbYj
idZ2pPperkLFv06c1N558121UGB+Z1hfLKfv3kOmcRt/JSNg01f3ijya0u74YVV6Tt2WkXQSj3vs
kzSS3MJZVl5pHjIzfUe6G7ZIZVPUZ259f3lp5ceXm4nwmMg1uYjrBhHAgGhTtEeKoLmPNFmcw3+2
Q8iMe3dQ9u9f5w9+vKT9nEc9OTBNTPabpQIe/fNPqyPorWYOiiLKwghvYe5PtC9cQKRdyNVZMWCZ
UDLf5qLxhVnENSDW5OYctYxAC9zjpz7/Hk/aeLwYIw3u+rRNZjucJk25Aff0+SQU56QN2w6sOgfO
Yv5tp03m3YfzW67CMSTGZrJJ/xOPqyEA7nNNu/rwOHlmq73I/1GM3YeTXz7m8h4NNDHiTWtq6+J9
wSdwPZUzPdgEVdb7B5RP6WwBVJiFrNdVJzLnpWw5FXe/RFzksVj7tCn/gXnY2f5f4bj8f1eRMWxP
h47yn2kvz0sFCDP6yLL86zkfaS+WAdjCUnktxwDG+ndBRtOgvTgeqEuPmosDZfLveoz1L5URg+3x
p0Jw1aFc/o2yVP/leZ6jqWS5gXhwgW1+grv8d7AX6jr/XpxRGS1Qm7E05qqAbQrQ5QeQpbbqXdYy
RXljNC8EcNAcoZvGfLqxzDu1eC/r/UeyjKTlfuDSqu6nd/tE020iQ63niXdjcPEbbZT9VM0+Z394
T/AZ09DWc5VdIYbbVwR6bMyXOkh+RfvkSAQfsbbV1t3G5+lJO8++c1Sx0zHu2axKAGiluvpwEP8B
gsOU53+pW2ku8AcAPaB4oDGqgk784adZNOYqLJKNrp1OJcFT3JcB4HSgH42ZXrO4RRPv5iDT0l36
IV+dbgX0VQgmwiC6S9JKL9fSiEF6NFN2inVL8xuzBKQyJNmVXIxk9+xAin2T0H+J+je0dcKNCHZA
7ivDCZGlvdR+kzKTkSUdw5amAX7rQtG8GM8RWKHNLdcxDUzNjGBDYFIjV5WbzbvnW2yPf3zgtTre
lW4z7aRH37aSdYuKVYj06CpeFkxLkxUibkzRWt3I8AK5gPhB6pMVHS67Wpn1uDoIO/iRPB9BD/0b
cXOBS0l/ZxjqLGDSjEAz0RuGIqkDFUJCLjpwVITo0NlyKXeooke3Cpd9DK5iO7ltuDfGcVeJfpUp
OoQyD0OueSIZQ2527bnqNf1oCYMs8h7u9p0Y2MhFI9ZAIqAzZ34YMS9dU7rh7cmRY6bLdmXmZFHN
4XND+CUKdJE+Si+gaOl1UWy/VpM+3Mld/apwL3bhPQVYqV5dtcFF32e/SW8GIS+25C65uGxqTfpi
Tdw+laYXdhq+v2QmpEh/16385vKouC2Vq64gbEV8X/kt5Vo4GoT3yFXVzepdsaZfLt9QlwM7ue1Q
sKS/Q2+4jpWOQF76Ru5cc5Jevqxc08wcqxM+w0WMLRWVe7BcS0DO70dzPboAanYeAl/5vzwJuVvX
mB10tCO2QrSeTLOI5ZDDY1YGUW/19L5piL7y8s7tuCA75NlBd0A/TLCg5H65iyPubnuPcz7ymAje
NGLw0xCjieY37qlMdSOC80hxTj3ZtxvTEl7ruAHiagxkRE+Tw2pUMmBOiFmCnJ7MjFnIoppMh5Jl
uR5kL0eetjJ8431tHe5FyBvohz/na50Kc4P8UP+LvTPbblTJ1vWrnBegBn1zSyOh1pYttzcadqYT
BAIEohE8/fkiXHspK/eqOmff77FyMSLoJCMIYs75N5eqcmc4t23kt8FA9p/mNrJ7c7iR3QMYJ7Ko
Yl4opo4USC8IT3DnyK5cXMWGW/ePXUhaUgi+jEpoirmsKjx6kiJvSZJiKDXHd2uuCRsfuXUSrT+6
5WHUfc+7HIFZ91RhT4jcGJgvw4AXJ4Qu7uBW2b3eTi9bgh0Xd+RaZQ8ZeZ46MUtvxJxnEFMlJs8i
KmMh141yio89kRmg23sg5GHHScQClowK5Obf9mzVLwXg/CIT85dczl9E62pm5+ZVrhwToFqRbMpF
7VpM6uohusjI7LZBHl3fVt7OJvdRXEK6k4iP5JXP/7r8tgykFP0Bg4NhUfOeBZw9ME6B6xQ/dlF7
MeG1j/INbyZHTNHk3ysXutEjx4q6zfdWE3c9qi6jcLj93p7qbnRsjJdqvJaRnRnrw+igSMNJvveV
e8l+pRGg37qyJdd9n+63Y0qlI+s8nDC6AmttqAqgZxHX/91pbut0XFynQG9a0rJA2gzgxamgxLuD
NUTayfmQvUysUsX9egLWhU4j3UHj5pat2+LPdYUQTrAt4zhHJWlVKArgablPOaW/0EAto789Vh52
21LJ42592frzo/71KyWdmeKcPEfNuQ8w0vhVMZpFMj9hpFrkXM+nWCnVV1Pom9zCfJmBqoGwOidF
RxEFsDO3KCoplHcpHU9CO0UVKiqDjBXEwrXUB2L1ZiaTCreFjNdv3e+UA9ItF6HhIgm8qqAg4rx6
DSQruJSyL61QgCHXDGpe3PJyoYsX8q372zrx1qNOf2W8EnT3zCGeRA2NQEHo0XQjbswX1IGyAa0a
KE0L99RVs7xp37kc/UJB2CYTCjdHoXVT8m4R2jfYYD+ad9AO8u/PlPkxRz5BtdDOuQoVHUh6VKEt
Lk/T5NFo1U6MCDhoVaG/I1M5vRTlkc1bdqsR6j2p0PFxEfS5DuSKz/0PeW2odyD6Uwn9n4u+lbk8
eZVk3i9HLCjD2mIOE86KCoSEhEDqCttyf0RiqL4gLjc4SewJ9SGvJEFVJWgfPaXUmxcXkaiSCSzP
6WCs9ufDA8WreibXidvBQK8ubq4oa/oYAGM0pa8HjVfIBWkoYLT5zta8Z7S478cxyZfHYVUJNaX+
gq6ShcBSLZSWNCG8JBcTMkygrvCCbkfqaig0nZFqSpFsQuOih3FULPvh/HAUqk6VRiHBUkAeHkpn
l5nNOdCFpoVMQsrF31GRVaElhUsxzBBB9pWL7ztANo82qEYXgD+6b7iiCpUqR+hVqUK5qkGaYBBa
Vo5QtWqRt+qFzlV7RfHKogzpX3XmrXbn3CEcisyYzCZqGNRf0ACLdDFVkwtNJgNEVC+7JRnOOR4K
aJmaP9HSuC9PBupcQqJLtuoM2W8tRbsrFSJgBX8BFC2h7fVb3xPaX0DSxepcyITJbS5DR2+hF3Zb
Jff4PkchRcaI8z3/goYf5jK8W2RgfEJNHwED0e/MrPMPxx6ottkxI1IHj+ya3PWc8x6XO8mWDPxl
67ZB7vd9yHRFhTDTL5Fc59S1N3cbc2afS0YCsVCnEosl2edmRxMSobmQOVu7lOscBY6Tf27W/ahZ
C7lKbkypQIupHUlhBeYnLuIMtR2qkBgMYOxzcBdlZ91fobeg31ryStfTxak5DPPBTnI1+F7XNl+J
mzSRfmZmLlfBT1FCFa4OFSaOum24dYc7pNQE2/EUCevMIXJJnfOCgz8619x+i7ZlNkOKXPMiy42G
l/ILnYbNEB7QXNHnl9Den7aEHQ9KdPBInIR98TAWIINRdMbeFb7MqraZnodj83ABlXHciigJh6QE
h9znTv/o+8oXWRKXWk+U5s9mdqdl8+ISFMqqyu4cap86z8zc0VZuj5j8ged7XaKceF131zWA6oMX
FodVqyxcD0bbDiT+4KHTs8iLRT5WQYMFE3/XzF6WazdAYBvmWPtjSsI6Kn5RNWraORA6OBSYj8Hj
GB5xOrIyhAvGO9i6Rf6i4++F23WYPtnkLj81hVJI0Ov7Lo2o2ZhYW/vYE4ISQj0bjJ9pzB11ZheL
7hwlx1neku+8cws/e2qy+4v6edqos7O/Bob3AfBkS1aLRzSAjbZE+jrI3sf1Jcx+jTPj41L5fYSJ
zD0aGpfSv75782vgLvSf2q6MhkX+CjXluQ5xpY7xJU/vDKyNW7/0gfBENlW6e4JOpCcXblhstPj8
eSSwbLdaAsIuwvzrdJwdlMVl8O210YdnVBWZYaN8CLgh/ISPc1curNm0J7dkRvlO2SZfGNY/n39V
63qNmDsY+KgAlOHbhNlPLV6hW31/eTXDrzaeVgvoUgu+1XE+zaGe7HjmrGV1j/Zr7ICO90fMV5II
3Z7MCSHaGfOyiOz6tc3iY/oATprkJXrNdh0fZh6YMOG2QI0YEIL9OJ1Csw3Un2a1S9NgfEuqmaJG
+P9OY3jFQ7YJhg4yDT8almh+RnLgumzRz6M2p6GOglpf896s1s7O488qF3ZQPtrXpdtHXnRcaGhh
Hl6MKYaiOgGFAbbEzfHUzabDGgLHTg/LDYoI760XXH7q2HzCQKAuEONwgQTi+HhCW86btUC5vGgA
z40yo/2Afmv5YZxXmJa9tQX6qrsyR7dnC03hB2LpOLhGKW9S8T/aquOn8xNGbT8ElbXKHZzeVwem
wkNg3MFBzJ/rMVhZ+17xlZU2oxD+Yv1MeQ9eBOzM99aHB2CczluPEtAhOL17baiAf88Cc2Wacf8+
7r3zWjdjdc3ca3d6176AKZCZUD89+MPL/kPlrqzXGryyeT9HtROfN9gazFFsaIgBFtdYfUDT1l/K
eduH4AicZ/uz3xX37mu9uG4KEOYDZf41j79CcvoQDo898FD8zH4mQfNF+djUIoy9DkDqtBlqtqY5
5xty+tNA0B9oG0iNO9L94DS9IoZBefxSN8OH8uN0b0ZVQJC211+Tn/kecA9Qm45Kpg/XY5u/1C/V
St2RHcDpL4KqdvbtbRVDFJxeTwtz+zw+WI9KbNxnX2XNlD0wgO+E6i80JezldVahFOgz0DRP2HPt
9NhcqYv86DfPGOL2H0TH+QItcd+MlFe1CpzZIQTHEXb7I2zVytcCogLMhrE6rLWwTUHgLYRv7q5/
B0ECN9DjT0SkwEdLMGRMfQFblPvJY3WAlRNUEYK+va8T/QIw9PWZG2Nk8Abn7/ka2eEU5+/F3ILB
jfH4HZYa8P+8gEEzxDcTh4EQ4MDBr9Y8btmMJF2c5CTJuA/XcHk0n9TXssA3LMFSYD5tMxg615k1
v+5+HOJkTeQZI2LOg0pVzr0HQ7IYGHmaGSAFQGRYmaier4f1I9d00a6uPrBUvQowiByTGJ500kMV
CqmZnO+9V5wqcCEDSlLDwQO9yZ2v+/XWiQFCgk++zA+kd+ZgloJ6nr0Nm6p5IvZCST3hjN7MekFD
Fu0AfLWNtRsmi3p9mBVL+xn5U3eOvwEYggABtsBZ1efZOTZ4pwQQah0AebPygGx+9DXe5Wvvw7zP
n5INHNxPXLOt7RV+WHB7/bllTcJHviINho0C2/uY5NFSNZ1mnhp4YLlMbFoR4RwqahimiI0AchpY
ldodxUn31c5c5taxCWncN87nDjQd3JteHCJbKMX9szVYRlvGcuXgqUc1wqQa5bRLNj+KfU4yuvn3
Rxs5LOb6ghOh00J9qcCI5m0Fddf5hcgvcL4h9bpl99ciw+phqRinfilbcsPlcn5X8OUjj+SiKTcg
r5BM0yzFLnlxIXPlDooWTBNGot/Nq0ru8WKhT+/Y5sWMLshHBJhwYwHp9tdlenZw6y6ghzLukoPI
ZP/gsMkxIBHmOVynBksbX8UYZ+m5pIpkq02lUudffQg9RB+purJ7E0YaYqIQjlGLUsXCERInsnVb
p3n9MC+a7v6g9riGcvPbIz8w4QmRbl3iWDdmmjI/JHeJrapLHJWYg9iltsjS5jKXFTC5aHOcz0dF
m0nr39siEcXeW1eHzzhLe/VOZtmkBqdsNWeXIfe20rRBYiJHA1ZFZCNtvQtUczJjmQ5uRUpQtmyR
DYZjqMYCwabZ2uNJNeA8eaSmztceIu6Z18ShO9erBlH4mWkwHnfP11porB4H4S+AA7YoqskEkips
dcccG6WyhPzpH+t2WhYTmRijRZUAP03CdZ2ZZ9cfw6tQE5FdMGKY1DFVwolkD5RWXaZoCzBnm7T9
uXFrJIK5EagDQHPUkBM2jm6cTOIXb0yIY+PZhZl2RcIsE/k6E4Ck7xww7ZGFyJvqrWzd1vW9Oi70
w1pSKDSpLWN2GG6MZr1XL5etQ9QDC9eOe5GIkyk6UQUJrL5n1BNVRvMiUi3fyeNbMlnX+3fLchhY
FbTnFLQzluXYroh9oV7Z9eeI7RDPSNem4NKMl/7iakRuLHD/QHRl6KILELZIplXlDywXty6+p0f+
SAJDlTm5/Hml7bMyOhqZxtqz4EcMKC6gjiIK3iSdvxcih2ydG1YmOL0WXsqUpG4PgTJpZOhkhjUT
IIfvvqtei+h/i3HSwOH/Yb1AQUynZPTvi3FP7Uf6L5W47wP+qsR5lNuwIoPmpGERJ5hIf1XizH+o
tqpTB1NNz+VtcCvF6ZTiwIbhN+eRDcCn7q9SnOHAmlJVg7q1g+aCho/h/6AUp1uu8Wc1jgqcgfUD
NCxT9+w/3SYr8IlpNbrjxtaUFAKmqAzLXPVvTdsRca7MW383/9zBPM1ByDhgQzEJLgKIgPfH1ILl
7lXtvHQ6GBaD99xXWN90lblOxvoIZQa2vaMNcdO566ZRhqV5MF0UMqZfVzRT7stxagJtHI/g3vMM
PS/FDhQThKt9TRwKRvqI7HOyLUAILIc0ewMa9YpkuwOIfTjGZ4gyFM+vc73oaoQYPHjGpnZBusJG
Rr4jNQG215qoPhLRu4UH6k42Qfa606NsmgUQ4JWLJnjYH1CvSEEg/PMAOYR8X4rfTiOP+u0qyb3k
SpVcxvEyafMOUDsoXwkeymu7f5XNQ4cNi2mmezlSyFVyId8JsjDzd+vMoaVSIbecJChONr9LWvJI
2b/VdW7nuH0M/sucQ/b/W/M/f7o82+1jmKFYC+SgkSYViW1VTnlEqxcLue624SLSJLeubH2nwmXz
dsjtNPIQ2QXElAbYFyAc/q/nl1txb5z+Jbkud/peK3ew0OpkKiG+H17C/VSn31/2j+90+zx5gj8+
SnbxrCWFoJt9eDsWuSZCBtlP8YcKynN/wBx6FDVSuTyKAsRgCmCMbJJXKpc2IsCnpKnmctX3jqUs
pIq95S7f55DN753E5lv3t835t9IcucLld1Pu9cfpZPffb/7zW0IOT/wUszX0GE7EO7LcIasfcs/v
kog3UONsWq0HkCgU0SuB67qVSGQXwe9sOTzItXLF7UyTxBXJ/klkq2VLLuSOpZTWux3jorTqd4We
+YAi7wyRpWq1UmD6b81O5KkKUfSQ269lwdTI8kjqKAmKaPgqh3BYzBCZmx5AFrU4y1pgkH2hfsYs
szyiujX2ysxplTGejtfgLEURpZj2d1MTc0uLq4kwpFAw/W7KtWnrrMwsSeeyJxfyQLnfrfvbKeVK
uVnueDtOrjuQYg2qrExndTK5Ap5bffZiYjIdmtXUVQaz4hNlUTF9OZzad6nVKxeGnOtUcmiX4E1h
IU1kxITIlNVLMUkyxXSpnNQwH+vtxDyqwrMMLpCQzpSqlra1bgoMIGRWWMqr3vLFt3Ulc/gQQzRo
Z+J6TI0Bar+oMwZ2SlRmVjPzczQ7RhfBmCfpcF0eEhYn7EVx79D2Rzl7dMVE8sCMEkvP3eV4wOxU
VMFbylw+WvnkR0S3aOB6yMlpj8sZVp8TmEYKH+AkSTnkPRQ+Kbl9FpVTpyG9mngdnEPS+Fr3bDEf
NtxOmxWXpF4dy+688i6o83hiAl2IqfRVmx4PiKXZ506NJUjSE7V1bOEIQ0TrQro2dpify6IDrmAw
DMTkXdYaZNXhchZz+1sBQraOxACGCAYkgFguJIL51pWtRoQURmFuZdFELnIReDhEIJ6MRVIRligJ
/hytMrcb+xwqZ1F6Hwu8WGzKGwBje0zpuntdhDryhpJy9Lfb77auFgETFkkIzpIlUqrqNHfFU3Ae
KctbMgC79WULdj/JXQrFY+wSqSkiZMtl9OaIQK4UId1R9lMR6F1FyJcP1NBK0wHkeznA0RpFcIg5
BiEjJKbr8rvZIg/SXfRFSlx5kAEmoYSfnAk6E9IRblp6y7zSoOiKRQ21dwB5YXeZu0SIyl1eDJLE
R+jKfiVVUK+o0aH1OUO1Jr1GBg/y1QcD2B9jbdxdstn4CLjTSBeXx+u7CxX34Luo+5bB9Exl71eV
zhMjrItA1X1uxRwtET+/P/bzc/IKOZFcXQMCunuNfhjnLQxR8xKT5lFTcuB6EDk9JKMLBVnyixS2
MD6atol6r4144fzsDh/IWHHqrAkMorgSAEjYPg8g45VITT8KY90d4UKDn1h1bnwiGQW91gvt6jUd
F8X0petUHMmRAZEesCRfoNClKuSLIK8FvdvPBvPJNmPTWhjGqk9enC/7jCrxk+VFVRc1Wtxkm8p+
TmF2ndaHNHJ1GEMrM1+X6aZRF2c1xkjmgsN1H5jpfJr8qYPBiMIVl1Mnk8yAY/K1jhutxmF1obgB
VRLl1/V88R18XZGXaHCsnyLOeDjfkeIuMLuC6tGtR/ehPM2H7qVAr6lL7s/tT7ufAxRZOTlSSFgw
za0jUEOw/2F5wrSQnI8bmyAuCxDbD6QqOvJU6jbpl7Ybo7h1cGPjY0BqqazmJC3O+ULP1wUVKSgU
WCaRY0VjhOtr7I/G8wR8835EOVAozs/Vym9/6fDRXptnV1le1dj4RYJNY752p21Iyionck6RnUbI
PFXe/AT38TlbwRQa7kjWak/tBvskN0raID/MKugo7WK0F4S753RBZGg1X60TTKcVJHY3DzTIAocZ
LDxX/8ymJXz4qQGfOq1Vb4dmYWVTBpqn07Jx7vNulR2X/cRzAe3mBCUm/1Ulz+Zlk3AfreDucL2z
CQXyecbfRk7mF/ATyF8Cn8Jtek2XZ1TYjMjmB+znqN1Zv3hmTdK8CIhfw1oPMVHTflUNaeQF8sKG
MDoPuE64IvhUkLg7dSeuXeATUUEirQ5sMHR9QNWXpOg1gLZQlbOxDRTyn15QZptjFyF6OcBEdldq
G6Nzr67PD5YSaebeQ1pHjc00vCxgth2a8ApZH7mDKRooJrYIPZIpasKz7aPkiTsO2urR9f36hBJp
FlM0Olm7VsdwGTZbv7ba2ZjNrnP+zIRqinWKu3aBvSMezNpX9m4j/UIRasDMWQ0H/WEo1o49U/c6
CBflTS0BPt8dXy0cPqe53S81mxl4ULx5xvLCo4ATh3aPaZyvHh8mKgETeXee2iZbqMdzkMALx0ME
wsWI1lE4DCs9CXsLdXK/yZe0wY6NRtChoKmss+azLRAXNZEu23fuHZJKTRYXJETHwP4J0dN7Amds
RcYWcS18dB3ezZ5/oJh5iM7mbHiDJ247c/LBWHaeizlhUfWqUGdj4ESP0w7VOuQsFwWnosCDVxdr
W25mZ4P07aqYl3F1gdE24z3udr5P9QL91wQ+hhPwTQTvo8Ks7onAyaCYtupeLQPwe+ycojbuHvSf
ByPKm5ivhrrL+UCpx902ZxxRMWqeu8VaN6BwUXRKns4vaCWayFp5q9NKxdVVnVX6I4nUFmFnhmJt
WPfD2lZn6Wd33E4QHruFgqkVpNFWRWRyfjlue0ouuu9ApHsqX4oNnJI7c0/KeXpIj7MJAmv9bhh3
iEl2MMNRk4DGq+KJXc+N00a7rhUTigusJL84P4EJqN3IUVbeaYdII7neYgdISzPhtCNX4I+nuL33
XtAX8H5Uz87qZMbXGNetR3itZ3OR7Cbyqj5lnuuLh6XqOEdNE1c7bPcKnmUlzF5VYwnV+0hSuvfi
C4Jf5+BwDLwUk1M0Gfyap299VvaWEnTT3pyW47gbCEovH566btHvRLhVGPrxIwfsbmWzpMF0zjer
R+qB+3FCt9ny2zY4Qh07QQ2dl91jkv0axreeHBLxpH9MX4oLLMV2oyd3PSUVlY46wxEVNbGT+6Ci
41jH+WFtX+OekeUIoQcpnY/hvNaU1SVHXyTKeRVikoxLGLANqmMpSAWYtejX+if4pj/dD77lXfp6
pIZx8fMVAU2KeFHv57af7rFimQ8P1QUqcDi1UYlGZQczhGoCnrMQP9tPzfGredrMsf/eq7VvB/YS
EQQ/mzkBj/oPSJPnl/MY2vd51CzMnZHPphkSQqvx3m4i4/0QtxnFq8CJuNOcKIfK8JNKZPac7DP4
vo/OdsgivjmlUxThXkCAQtXDxCx5Mu/dn+eYvP3mq3npFN/aZkhP4Oh0wGItoErwRAcl26D1rQeq
McEhLgKuqQ9L3U9n1sMP/+scdT8uMztcpKqv3xvbMtbvRwYFJgBP5iCemPIle1ENMFx+82I9IIeJ
QW5hhgCEDnsbwasz5tsbdh2q2aVf2G2Yzw3EGe8xAO71J+qmLkVpoIgH9B99ywGzG6R4SWBAE7Z4
cw0R1q0+qqcgpav3y/x8d4yuna+qoFceSJZTEznAwWpmY0RmMewDqu2QPoER9OWWMjBMay389Pw6
ALmjRx3ely8LswuH9wM1q/UYIeQMxXyr/FCfcTSAk3j5SHgMcNnYWXGxU5+SZY7eC68Ev6DQlm0x
k66eKjzU/WJ+3LlvKEKwTXspYOUi1PyJix0lGb4aMJVqQZI/CVKEOJKAdUcfua3dhYJSSwGCspLK
E0aaiOjpSdvrYBUe9efLtgzLWX9v4UTu9/f5yg4MjIf9WedRPcYfy1ob68u2v28WhzmVCB86+7re
wkSG6R4rdL002vB4w6PPL3RBfTd75M0ois0mJghj+cgeQA4oJk1rxMbe2oWFTMLHGGHnvny/fFzX
xfYaWpWPD3NYrnXK/anuTzPY6gFsswi3Dx8NOj/bHILCZ5ew2pxm3kwPsvt2AWPjvM+3573yeny4
ht1Htqdgt3d89Vf9PEToXvvnkOp++5a82Ehmhd4eUIDtMASELIvWb0JU/D7bF0Yybh2usMlzhSJp
wB1LNZoxfLifHpq1iwXzIt8qsRU6a2t/Dp3wEMA6ui+D48x5AwqktGG6sZtgeusCPbj6CugA9Gfg
tNpvihED7eHl8oZeaTBP5kxKFqcVt8Nztm/Xw698i6btuv44Mesh8/Wq/nottscHyGG/EB/8WcQq
V4IxxlpZqw55HozlfcbPx25T6sGse1efjjsKCjZji3/hoTr6e/ULeq4C3zwYn6j9Xv2999m9t5he
R/mq3hWx+2E+NW/jloGQAdL8aN6yH2YwbDFRvj7mKwDsT3bQ39c78wnZlICLOtc3LIMpVPiAT6Ss
GX1ml6AMyRVaayemIrpMX8VNFysvSPwwvHXEtGAp3lEI6jaUZVl59YudFpd3vBKX9Rf3avWEwO1i
WmWzyxOe0YwxLVSBqNrwdsq/5H3fvmR3Kcb3vF14isLrquD3ysJW2GgujUMgBFVV/4AgNjHpVzuF
7QvbeJiE5gQQFGIULo3pc1jBZcI1j3fG5/SZPSoH9IuCA3VWDG1V7HPmFhKeVNaflE91w7hsB9YM
6P+BR7e8t5dJfF1c+UHG7fVn84ZoK5iLGfd7uR+Ykv9IbB/thWflbpppsySueCNlGjb3vvo8GK/5
XF0ki+OC6jBQgXo2RcZS2RgbihWR81B8IQJrAV3zfqL9UKP/guoJfLH8xXV88AnpbnxQ587dtO7G
Xb7BKZWh9przrKhveBhGfXy4/zruBi71NShyQEwherrJMrs77qaXqxwA5ShxYHbLi8j0L0/VVwKQ
1ucvtz6Ry+NfW+Lyixx95HwOG5uB4LldlOF1oRGqfbR39dL7LE6RogTDg0fl+YNW85a+Wuv+zr6K
bz2BrwguD30bdA1mdX7/6LyoT81dfg7w3i12Yn7wrn3W73zFDNUiK6y/+nE9vfBC7D9hq/P1cHRh
MGZgY4owbC4MS4i8ILzsj8sx+uxjZngn//pgbKk2++B7gjRIouaOsZTX5PsE0mmcX55Odwx5p7th
w3XNYzWoI2UFelm705cpTyhToEB7V0FkAabxInfBg28iPB5gkheW8ZXhxp57d7j1gkfAV8DaJy8N
2I2RfJWfMow9J/FnGp4jivIp77Trzl73fsULL7vje1/rCCErnpfrjGjspeaNA0ZkQjUksH5qb9ad
y7s7m3nb8uW8wop8lV4C70HPInTHqIjzStPvmQ6Sh+GmfcLlluG5WQxBEwIheXTn9ZwZKmee37uh
9cCcYvhyxV+fLPtVNZ/i7qtnnIiLGDOFQIuzWfZ43OU7a1XOhodZowfai84tkCPGG+pPPU/mjmf2
8ExukR/Q/DKOYXmM1OfxY/w43zf7/KHYtuuSUdD54d2le+dRu0OwZFoclva82Lo7SuRh9vaJtNXD
ddXzOBux+M+++ungH5vAftY/TvcKyN2zP5xiJCvbPgCWATPh6OdMobBJ81/ddMObRn2+HNbo6DIv
XtpLiMVzj/Tugnhhl800DBjEXas/4QuLSjSAzGFx3YMdBbyEhPMMnPbkfKkjnkrJLrdHfsUJuMG+
3cOwSZboAAMSK/fVg/fCl/gENIS1Guo4EqOb90ysbN0xiI2Ij2TG7Q/Xoe91l4OPDh+2B4LuImnK
siW5yrIlF6OrdbNqyHZEIeSYJZ9dLv6OS5+ImiTgbjOQWSj5fVz1JHACwj1Be8wHeEjADv0aSZ+F
cR4Crb04AKCYC/bH1UV570nmaBP0IZD+tSBmjiqoWpenWhiQYKSETHOOmoWa3Onk5OfNKSEAFgtC
F1tV7EVSU6qWpHTZulyMJp6MIZSI0cs3a0LASEkAUVuViNK8VY+8BQaGS+E8Vaa2rx/R/83cp8Rt
CoSRDTIkZflQTTWq+qVBwDtl1JNGo75vTHKDiJF1S02sug6IL6SphtPcmH9qmHYWExirLGVGfb4C
a6xwT2RSjiZsftqMZ5tpkPjGZLWoCKiZ6gRWfvTATp4Ri4HVpBsGA26t3JGjjZukOTFw8p2MxIDz
Xb1ce8fBNmcsEL0V8BFJZpLN7ooScnU0z4ymolonc7wyrytbjizWDXW9KlCAmGeClC8XN07+bd1Z
Qe6+AfAMd0WQyAS6WXL0JbpdduVCFUZk/UAEJvOgcnFWlFqPZNM+HHZtV/QzmZf9ztXqk06Juz6y
FNqpMYSFs686VPmvIjM8/tWCjoxxq1gnF3905X7ysFw5U0YpyvFdQ9nZty9fuXr5Uq8u8AiHASCH
rKOovGdarVppra4vvWZ7agXv6CrYLKMgrdSacZ1n1bQtDouhwyle7wxGIoHr/QOym7veairTPMym
6z1wl1KDyST4XXXn9CvN6FAnbbRZr9j1ckKKblmTVefXsJ8d3e0W3z25wVNdJ0Sfg4q+3EWulMd9
92WzB6FWOueVMZFztRjwoVFUYA0bAcezrBTutWzL1XJRUqsE8MPi1r1trZExuNY90oR/7SE3fp/F
6JoGHcG/NtlDuXM7p0XoHXu+Xj1qAQIp1uboUQX19cuYk2Xo/cPVBB/3F5JJMXs9AtbxVp2sZl7B
Cbhtk61EwEvcaeJvkNAnw64vKibA5OPlotYVfjRc7LHxRGwKHDD7y4PIXuMac0NOXR3Bxfo+1W3t
d18eIA+VJ80cweCSzdv5vveUK2+H3475Pv2fu1+tpJw1Tf/4xyHyAxE/Ah3akNO+nea235/f7Lf+
336z20fXVn6a615G5VlcN3nK3779b3/dd1Meebhd498+6bspd/j+A72OOBMNdfP755Df5N9eE/nJ
aBn+14/32yff/s4//hj5Wf/tG9w+YnqfWvOJMt2btKuW+B0pHSAXf6z7o/t3u5D+J6/1x2k0WbS6
7S5bt33kab8lWG/73Db/3bo/P0ae4o/Tfu/jGNMDwi0VYjNUP7/ZsQm6dfP6kn3bQ3fiffuNG5Ok
nL+6jqxwQoT9p7uzK6uocvfvpmTdVuSadDwIv/FnctUfZ5Trbqf53uX2bf7uo/9Hp5EfJ4+4nfq2
7iqqYP+LPfr/wR7pBqyy/4Q92n4N/yf+KJAHPzZfv4OQ/nnkP0FIjvoPW9NczQbkA17ovwBIjv4P
CK6og1o6sB8H6vkNgISiswAsQfoXys6WcQMgmfo/bA/kEaghR7NcXTX+JwAk6w/4kek6DmeyXdNF
XACQlBAL+I3xbmIkktSuM8XChCM/2gh1UoU6RspTvT7Fjo3z16x2lgc9wtyv27cf5o9k3z4LFHwZ
onp+GGeQlx3lpSV1fZhrVG3KOWURqwHEF3tQMTGBwrv1SXAnygVsrdOcksYMDD25VyPSAN0fwvRJ
+1mvPCj+Xoju2G+/yd/x+gVr/zcJgu+/EbMCz7KQDEHd4V//xuag46VauBPGsM5zp2kPaTeReQU7
Ppg/uqb7pShkas758c06ag//+cNBkv3Np5v8Uo5lqo5qGX98elUcrnWWwEJwn7xhpf6qHpo7ENDq
ezsrfsGfLUHT/3IezQfQ4+aKOln+qMzcjffokua+q8+RudOajbZGmeWj2E6LfEcm97I9Nv6w687B
JTpuxw/XFLGL9QjDZgJWHF9Jqadr416dn92vxLLtSPGm5/wLCSD73nyD81jhSiwg4daGgj3zSpHl
QrTvqXjqKVsbC7KhhRM5XmhMPj5XWuMjUQlF4rIu1nAdfhIoG3ELeZCg2AmB07hh81hvNcprKwoT
SyMs3qsnMgjpj2zPnzO7vpS/prnyMB1nx80hxgEuJ3H/kbjxsO7u0P91Z9nXGBdhB/lDFPrys/9L
X6G53HowPpQFXKPLJ3TOzvGVsPhECfZqhsqiee8hxegR4PPC581KRRbqUrKHj+I9USM5ZbvxfgJU
vkmIlN19tcu/qAVRU1I21d6aTw9EQRQ7hr06+BXZI4jk6/G1/LBn1HAPCMv+yhDn3Nj2ogfmn5Bj
J6ca9+5swOwhCwU7xfEpVdjjaw8f3dhMqDbhhFOqO1OdYW7m7Jr3YWV/VveHu5bA4xHoOeXEvoqP
5GZbwnsotVscILcE6VOc3NsrnCZIyZ+CixGcP07L2sURwk93VUhhNEpm6OziYKaifvsJNSPvAX/D
SAit4PBKqftc3R/3bbpxVyYWkUMAQSOLqA2sprkJmQLiPfbfkFOsN+3nYXPWfXszveIjDvfqTtBM
0o2+MRIu7QVAA0V4zUd/9YDe79xZX9GdyuYIir54IG5hglXh6avZYXRy3epH37xT3/Q+sh6ShdMg
au0j61vpwaAF3r7nSpC3R3HEWcPO0OPso1s0QXGnP2jUm5+ST3vbXSB/+ceXw5O7Q9OXWxt3pzbE
lMdY2NviblioLQYuEH4AsuM0eI7Lz2FWnoMsruPTK/ITme/FKerjG+/ee55qv+rmFPSuURsUPB3+
6avfmlzNlZ7tM7Q27jBEvrsIuXBcOZAU8p18Obzq4kczcZ/8v9yd2W7rzHatn4j7sGcRCM6FxEa9
LUtu5BvC9rLZ9z2f/nxykp397xwkyG2ABcP9siSyquacY3wDG8dqDBxmcR/mJoYSuVJcO1ovbkuA
kWefjV3Yr6JjW61NpgfoWlxcIeYXc6T7AzS9wrW2A+M+mqO000Y/Oc6boNro1qpZNycGuqBqj2my
VrBzPQMrnXG0Dkzu1r3pDCH8q5XyJ3uOXJoht7RZcTBdzRt6f7gSfShTxjZ57t5nZzNvomeduT4Z
DYybH6zOwedsXIOP9keCa4Vl5TgM2/kVgJeLFcQ+I7GY6Eb7c8NAdTX5UwjfdIUfpX+2z8Oxu0U7
JvDWjd7iq+zkDghv+YnOzvjfLM5sf39dm+8SWqIaLYXkNQ0d4F/XZjVbhDGaMKHbsHMKmKtqbr2K
uHX+62X4Py3C9//GwB1rE0hA9+WfwC7IW+deDpR6Yyjj9f5f2PO0ncPpGxAvpN8cD9pSs8X/XYf8
/9l3VPU/765C0VVZEMmgW0K3Zbbxf9xdtbDWSd5u2w0g3Nd7SJVrTEWyoV9Bo8nUpHfFaFeQeL2g
eoEYQ0aB+AB4XzgBcT0DjOOtXs3XMgiGzSJUbjVQ0F4POKeLNfmQ9tPDFJLWRUpB6yka8OpYjnVX
TKqgk6dU3oJ4dpXW7ambWDIy3HZ2yRhRy2hFLlp9QLYjHC2xdqnpIWJvX9SqN6Cz01scZMY9WVEC
/RYcqXOAd1zl8MfnDUSE1SzK5w584CU0WvWIKHFfJxWpMqkl4SwIq63dtQd42TEQXTayQK5u9lBu
4bZmYW55mfHVh+O6Lohza0y0C8zUpDKn/O3Q8qcKyINlSyOFnBLShO80V18y0f6M1HyVTarcSG4a
R43hMS54CLzsHcuBWBV269EVkHalTNoi4S6vatVITmMvlUOS9U/fdOlJHZsWVod8Sc1AP8YDLe9i
QVNRqipxqIaE03neGHVzNrM4xTuae1MM7Vg3Co0/Uvyo10gJWFMLBBxccsEqzLrSMUJFW6nSQmpT
nQsP140nqSlAYFpPR7pxR0j+BB5jUlillo4fVZuJE9U/R3vST3ZHXjx9/QCk92YYVBrEndFuYSe7
05g8aqX0Zav8ZYWxXA31I+TvXZUi/9OUerAxKpP9bFEfEgbRCHXydVeaJOLG5ksfE22qM2Mfg5nm
qMkhYWg5ozV4ZxfTvBhLeJGrhmGHcpJJtZJm41GZ/tST8bRUkubr4fw6mdVLNcFZe+jlKHfbqX2a
ouKSBOFVjds/CZCYFfGLL1jlUxD0r/f3dXgTY0y/NZYSz8g1B8QN0ZCyxENMsS6yJRR2j1HDJMRW
Vx0dmbibJ4m2bpLwFFXGc6wuR0mSyQm0eaWFuiuTUvKlTJc2Tdm4yQCfVaMBRQ7D+FLgMZPFiKGw
CoUnTd9E0jmylF2nCgGFNeMCKhoWvjRfyakvpf28AsQGa643H+FthStmyll3GngFZpS2Gc9OthwV
6EtVFXr9eKno9nXgLIWKgrXHtAqSuJB75/6ayQF0juzbRhyGIX2tRYYzFpbbLGC7Rb3RH3GGs4Pa
oMJp+ZSEgKYYffMe8QSxRndba7PtSVn/JdMq7wb9eauRVykHr8L4Tgg+nS4LRBdtGp4FtmsboZzA
lqzDbboH6rVkJrQc0YYpNve51Zh7LQx1P87zhzkymFCHgaW61OlsGk0PnkTqEaKE1mnRwCjiRjI6
HScfWUIO9qt6S4zhDHK937Qpma8rQ5n6fVE3T1IZBr5ehgwCU+RypQHXOERUD+oSSW+lidYRgxpu
iMvaKT2EoJTMEZL8ClcocrybS0airaTuft+YM/3BLG44s6l2F/l1Jx6DDqNrITHrShRmY/qsVe4Y
yel+0sd0Z5kfSXqPuvj9VCxeiwHtL8GL5Jjev8mI7PRf3xvUL+6IZL8YBbqFEFhrXuuDGzYgT6Iu
Y/mc7CzYRb36XYeq5OE6it3HeJ2RAvCw3F2IHBc5AlQb4bTH8nyfHvp3/hAX7019XjbqDSdy6zTH
7DgdlY8MQxFijrVpO/bjglmbSNrbfOHex1zNSOmn8RUX/Hl+YDJ1W2F1ZpB4Q0GkP0Qf7UH3pmPP
fOtUfuZ7juwM3WjcvvEamW9i316iDXNKfUU7uhYPVuVbRGcYd1kBMocE2SbR1rrTtGvrJD+S5qJw
PCXYwdxxnCVJjMalYBJwFg4HfMb9zU1pEUIeEEzwYxYHxDWYa+NToNYQ2/o7Hm4RSVmJgy9b7/nB
4afWXONlPKCzJWtdQmSWcurBt+hkJ9u3XsorB/nwUaymF8u3fPkh9q1mbbGJFRw0tJ/sHdZHsRaf
yztKOYtOjFuqnLRha3NsdhTT6fZopmpKFe+eKbdjMJENLKD2WiQn5rqN4TOtRfsTQucfSYLwNE5X
o6u1e0XH38/DcZtubwdr+dgwvutchrV0qBk0VwChcOUTbIidzB3NR0MhM85Jzwhvln3ujm4sPORs
FlN4RoDFuinWU+1gsQ5x/L9mnV85WI/FSfCXo7rZVujd39TK18h4xtQ9g+ZYZcYa647B/FDEW94w
fUd8D91gZQhEESvTGXGYrlLur9lHatVoG5XnwzxMvQd8HvJ7PoDgQmq0Agh5Lnm2OF1+0yrUmn3z
yVCal6dmRO7KjOVYxh9shl/ocUM46k/jsJ3sm3RiCbNPhrFDVwAcZ8NlkUtbnmLAJHmITEf/g3IE
dDslWQddmFlZh02UM6O4WifkYW1yEvHe/IMz+by8BA/UT+2tIVO9eOquhIjyf4fvHH3fikO1Hf5Q
k2HYZB7oxSfzmH/05RoZTvc6PqPTj821feK2gfxWbsS4RilWPldec4kotYDX37gDtM+cYg3xGMqh
X8ETsq76uQ5dHfpA+mxwVF0cVdmbiWsj5nGa14FZKfxs/v4df6/cHzEfcE9yhJLcCUGLvCIzZY2S
yqr9+lmJ8DRveZgoDYbhsVTe8CIjsBLiEBpOnLoM+HkSLQrJU9ogalFq19oHmJGcXlDX8Ep5/I6a
AUS0Khw5eOnTl5BRNQoq3Nr9XvrUCzd+CpUNnXHD9msOYif74R4/uKzA20/b4YD+pQw9rlw6vshd
/Gbfp960A+N7RFDBySb7M9trpGz2gSEmIC5G+ihIOGwX2/ITfT0SRJAanE1Qlb5xXUGon2ISStcQ
LqQNoW6f/Wfi6puipTKPNsUEZMRJ3zK/M9ccBijARnd6gayYPnR+kK+lkbhfWKwriVBudYVgmNEi
9vnQdMdDTUGObONoc9VQotIXcLP3Bqf2uJ4IRjlTkeMoSa+DzynPvgp73b+WnHAmH5HDFoXJm+Kp
vvmc+TRzbtADFraPbXaMPe25oK/gWod9qbjLZcxd0l9I/XvMztQzt85LtqRH6MeUZSx0KgcjpgUJ
YRVu8pPO7x3eCGZ/5zGcqXRFsYl2AOoWFOk8agSgi2tvidydHkJlPTdrGZx46cmn4KljGrVGwU0J
ODqU5d1T+yDd6r1xgZHevYkzcVHv6M73pGK7HBPOAWOgnmJ7PQ2XZPbEfZYO/MKzP1U3f2EL7R4Z
4isHZLen8NR8LdpqRhZ5TJH1PEDZ1jluPVefvWMc7ykEV+0UP8O33OjqLtR2OtIdXNEgM4hHTQ9V
h8L70TzrR+tSvhBAwwETgEERkolFiNOm+UNpgBpu32yVN0wPywMl3YkdhlYINWL82THPBPoWuuRP
t5aD0S9DQ5s7VbDjeSft6a3eo0qokFW+KZqroYx+ECejWzM4syQfjH8kbSA38DoFkcdjKdOzPB1K
fasy68eeRUeh94ojbZWRFIXyQFWp/GnrT04VNgEv3UE/R1ckrGKleOKs+vaF+Ezc2yVGAXmtQlCJ
17HbQPLcRiqu+tV0iDcxJwL7VJ+aiA3pVJuMmVbiZ2gccgm0Vfi6fKH+ui9zOjKV/J3uCuAI5Z2M
AI5Ftjs/5j7eqnMY7zTlk2DnRJzD8Ri/kwkKMW25o8aJz9iLqufEe2Tx72ck6/tgvPYKV7r0s0Kw
Kiy3TB5Zf2zCfzL7CgLqMrvRl/JKmhIVwXjMbnQgtDflgQbIgMLwIdsuXn0GOoICJT+H7+xLLAaa
9mGjETgOD+VTTILJV+eFAG9eZXktMAqgveUJGFcJWxnrI6kR7MN4lLPnqWIKzil8nRq+zd5Semwq
CqvdLXlHrp4+qJxLz9NbEFxQQKCT6bYaV2yiOgZAMXcBgvQehhAcEF+61Wf9XL6XwUF/qeKn5FHg
pjE2xia53Q+exK18TASj3U2kTkO+N+qfRdssbBSv0GQ83cd7jmmchshG9rst5Sm6LMwajV+rXv8t
ELSTzGk4COLQXvY3cZGXU3ApNoTh3PpvYpRR3KlX8D/M/rXG4UYJT7KbP1vyOngsz+Q9PVUHMovS
D4R39Y+GOq2iv/Ez7/IPVTvn8RrAKerz8TjsR1xuHMIv7Hnx2V7Pj4OMF2Hb7WJ3fkc7WT+zqpPb
VPBb6Y2dCI6/wFNnF9E24oXhfIhA6oGG0ofmyd98oBCJEhKsC/7L0Sf/LnSqXRK/gytommJvPFU0
SyIvys75twbObHDzb8NaFel5sfep4kmuKDzNOqHPHh4HcxuwLc7yu067JdM/h0WmOEEkFL4tJhkB
eFtx15Qtwnw6WBS25H+t6lEFwE3OCEegGtUL5AgLtkqbBLTVFHWlH2cK9LeCSOhjo/20zVeDB+WR
x4RKCSFesA2/OcMUDwTGxWfQjshHM04JO6tzm8ZFc1XdoKnzwunfjESZYRkp5ceqf0byzHUcXYfD
8Mf6QncK1DpEJ1p/UzXarVM26+CnNb2JjYZ0YrGjl2y8htOKPUsu1oqPPeIIVuMAtofTpQOjczyl
HDOaCjydT5SPAnFoTyhYfYpdhFozrIM/KNr6deyT9Rbu9WO9oeHH8lK74Sm7FdvERyvdfkJVIj4v
utYk8UCMWbFTIH+qTwLngj99D9/ixFUphev8uhyjY/FlX4GbHXF06J/2Nn6BvMVVQKD5yzR7c/Gj
LI8zcWaoj8glS7YFHqLGm74sAaXIm2xKmVUouNAl1MYxLJRBhAgfp5loNFXneZ5qI9wtVLGRgQVr
DDNlP/1+QZG745Bj8pIJkHe7jN22v3/1983v9/2+9/tj1kjkVJGmLYtyr+ztKVZQ0N2/G1t2tQvm
xyzsNmOeROdWVogWnzRHE9CCQDasurrVHSE3qktsg0ZRFU5+XpmkPU85Z3mBXzp5CKOJGzsnUSmv
SIo3rPQc29EeCQp/G5lMjqTnMsIIdpDFkrEyFLWOIQVLmDqQRt8b5GL3ZukRy8CJSkJ1EMyy21r3
rMtGphllG/Q5gyh0u6S7KSm+m7pvx4tCAlmcF5lXq3TYZZsDd8dgy6mDZKISbi5ogoRTBuJDJTaM
YzWSsVlzrKwJHfQ1qqPaVuOOWUPTXA1yT4un6CWOPaPG+SElFnKfsCN7Xgsaj9SpOwOErbAkxPrp
7o4SGsJsOxE4x0KKtUmnXGvHPTIhitd0oZEixn2UZGcpALIyyEpwjFrtZuqYIZd73kKfRttippOp
S8kTUWdA3qy9xeZEdt5+IORWWbKO8yMn5LEMzuBu33UtbXcdTqqhxLZjJqx/7WJ4RCcSzgyDzSq3
abinvn7sKjlzVDghzqwixZ7jnEpk5lCRd5gZRvs5yq2I3LEeBAkGOSvEkDW9mWmhbodRYk7WmY9B
8gEnDjyxrXzrFW4jYxAkR89J4svBPfMAi0mvZzddUKwE6WCTUFNJq3zBzSAF09MSnvOiMN7y/q2F
ELOe5O5GFjDt5dGJk+BaGz+KhHhfC7OXIcrYV+uUBMzG/qkLa6+0ULkkKaBzgm03ILkKA4HujqqA
85svr1InYJJNqPJqOfpZAoM2EtWQIH48GodoE9DLq/vluSZredMnErIeSdy9QUB1zHB8ne//mapS
neLOUe0A4faUGcRS2zi7Ok9X0CXHCZquNlI3QMOnVazZ/pIS35UWsA8bdd8vr6SdvQ5FdDLZQwdb
o9s4lKh6KcZ+fzZPjB9ZbFOlYrEeqd/pp8UWCsYpEw8ZMGbSpORrJ+tvxZRuenDNPVQDjvc1u868
2C+syhGGyJC/wPpSgvYVaAJMFQriCijmWiu756KWMjYfjbP2aH82GOzi4FM3ORrHA5GZJQfmCni5
peNV0292prw1PR3HVGeA1cUjHsz5UA69F1aUDGrECCWpY8uNs8xXmjzcPkXGXbw4U9GRJOKXSkwx
02KAqOGczdaLlIyUTVbDeVq+pdX4mUzsNKII/NmmH5Sjpo87pHo9wmdQwEiin1HCQbTSWFIymWoZ
QnYJ+JWMm1zDBzmr3UbEtbmyi9gEe8QGYIXXfsJyaGn+QF2adAORN5J8ntim2hawrBRfgyj5MHQF
iSjaQVd03VbNNOwVbcW+qNp44wb6FlKoFXCJ6OjFTBBZIl1trm1cID0wQ+ZtYV89CLs4x2PzrNTz
vU0GmGxu8YAo3ZM94q8hAvI51zvoYSr619QiSlRtGVsE3ToZS8bJshVu8LAYoSl5lVKeNZ5ark61
2DRQTs9Go+PLSfvXpARbEGTMYljD84Ndv2iCEo1c+ZvV2YyvkmA+6QV20FBchzE5LGbrBKqeEiol
+2VJLT0NZPkYkjQ7STqrDxVzQAl/uGfaMcpQxFupveAXSKdLIpA9K5n9UWdUrmWEWrdnRxp4rQiI
RWw6obDS0/pU0WbouuA7MnVHG/pXULJIpWc8B2aWJG41M1iT8ea2A4IW9T2aOMhW3U0296FSnZhr
bCoLfpro2m97YnCPYVIm6c2SimM5a/Rm8vC4fiqFsc3r+iLb4jRVxLyNCN7jTh63edP8qbKdPcsf
YQjcja48xO0YHKPU4gOcreyWSl6bMv1tjOiY3aNXmCVw4KHEmW8f5mzPa6PmYN8SQloM9Ek1ST10
PV2RRrrXqmJ8wg3MwSOJz3KD9T8zCKWvGftOZU9Mmn0JmyT3sh7dfJ9Wm7Zdth2mwCBpZPisEoGN
cvY0Dd1tqMhprPOF44kaUixzJsqLAdum9DENvTtH2kM4FHukEw/jZGN6wce8WhJKSaVdCYnMt6yN
zLVu8KGZq80mIKwxsqiJizAExJZmllPa+XM5jXyqoq3WjMOetLdnGSNsiw83bQ3FJ/k0Y7Q60v0d
AGeymq1MkdLuGLSTsqgv2TCbPilo/WrJdoZRLB+LEe/Jw5S2iayciRe9N5yr53HKKKLN7jJpdHCD
0Tr3XKfrWWeBV21f09vUET3K44lZa6hTVg2W4bdB5aW15gQx1DRN8uOKRp+W2coaitZWy6r9IOKL
xON/gdOxSsv0LbXSiJ044rTIRqYUWsq0bZS3+iATM4e0WtVyWsgJPLq00WMvqijsrba5C2ZNtn2p
L7dJQt2xYMuWwwTeZDEMD2Sy7YYEeaU5hgMvie1Ey4hrnrnOeqYBpENXu8cYfOgptotxyrN1iTN4
kZVNXoqtnnQ9jFIwnFGfpjTHTcdcJmdEseGM0YwzQG3XrczrbwaLp0XUZQoiFmxQ0uOsd/nWqPB7
NKCzQFHgNywtgu5G9WesB9q4GTQ92Iqy4Qpy4Oo5oXQgtrVVyZjsh8hd9IIEre7S5oK+ZoedqcdL
bcX0IBrjPOZsudXSb+PJPqU8RYQLWofKDCQHS28MGWOVZfGlnhF8163xCmKafNk0v6WB/Dw2EZYR
E/tgbL9ackijbwDTp42YUuw23w6h+aYjDl+3ieQYChlZek4WpKIT/NlnowcV/I0oMoCcJj0Bce9Z
G2r2tEjSPqqWS5Mygbhj8HVXqbiNc328igKXXiiUP33eN0c9aX36+FjygFh58HOewnZbZtanqcay
0xLvHObzT1KGkSdMPJUBz1Cp624/0V9TJE5ssR6pa1Lh1vXEXW3VX1Zds7OZXBJRSxZaN7Wmk3pK
ntZrdcD/V6jKcyD3IWGkFAo66ogy6DHEJfElzZPeY0DTrwAxbeyaUXY6IIFYvDgD+Tox0ZhH+hph
Zx1VjZMBC9vRkicst/Y5CNpy3c0L8NFieBg0TxIqc/mo17DiFvquzUcdBzfv/dOHU1aCyygpXOv0
M2Yy5CpabexGEf3jm9/PiWaGGCqH77/J8r9v6oE7gAVLcfOKU1ugqDf5TvlozeLLKOXWs1NbdQYZ
N6sMVXxnRAMdviikKFUoZO88NWcicxFRFT3NjMotJCZuCMNyq9N1MjKSv9I6+7c3/VydpVyzvMWW
zF2bzHiiVKO0dmqkYdi8vykK9CfdDb2vtZP+/iZGXqAvRr39j3ik37QkgwAtzzLkp3wUdMU0o3iU
g5FMi95ID1md6v7vtPv//CXp5V9jZr7Kam7iMOr+6cP/ey1z/v3L/Wf+/j2/dKz/+Oh/XVqQqinK
fysS3H037ff8V4Xg74/9u0JQ+xs4bPI2dV3TDFuz/kElaKAS5POCMShiWr7w73lByt80U7Esod51
DdYv2uzf8oI08Teb3ybLfEXWFVkx/ycaQUW1oKT9RaVhw1ADlKXYQvBFlti/6hjUuilyrTeaTTtN
a5Y26UgAOPeVzXgraZpx3Yac9IpG61wCiK9SYwbgD/KcexPxThrUV+Jwnvqwhi3aJdAt2hEO4MjB
khRg4qpFSxM8K7H6TcTAit581/Mp2AexfGrKyfCUedF2gWFuFblNt7VtMoB5S8a8ARlTzquSUEre
EJutdEMOF8DOHU29D0Ribb7UH4GSfDaiTBANqay0NPwLsGWHsklfVMrL9SjZ9T5rh8DhaFuxYkmS
F40SXbGsehRF153EkF1FRR/EGFqf+rPdEj5OyKb8grpTAnVtk1gzzeBnyVcm1b7GUKYi88BUqO86
nUlU3aNFC6f8YYjt4NoX+pc0Ju+1Rq5HKQsMlQmTZYJhtl3GciwpkD5mhp4py7+sxsn62OSI9FUt
OSaNFDut3DBuJS51xRace3MZooTTi2uyKJZX62nuGhwxA71eHILmc78Jx+e5b/JNMfqEWRe+OvKb
K5OuC5HMSDnvFPqylHcEjr+FFV1v9v5rYzIjiKxrWUM/YD59yFn6d0xYpCKKfbNqCGnSGdvECva4
Ev85ybBXyHlMZEaUi2DO14mi8lGDPiMi5HcgFNIteBKdZqA1nIXFwJ6svusxznVZK9b9nGy6Ueed
mvN+23X9WrCPl8m46qwp96yKX54F6T7TyIa1+8LXtHU5duVTKcc8b/mgYWsfOncI2YNymUH//SdG
05LchODnlUgQm9kJn8unEjOR0T52oP1llaejsVGuthPykkEPnaV5kaWJF4XNqePv/E12nmx9s/TL
SxHhNTGWzCW2lH1stppLRzb5GAdHglbMg0gx8I4KRORZHZ3ZQFWgKRTsKXmwajq5EtoYfx54eof8
WbWmJ7tpTNDoFROAdDcL+x7wqnTuMnJrVFx0saIdcH/FrkYS7lILNHG7Mlpe1IlLrQEAyDU8eWqm
BtCD5W4RgFoSYtuXeqtFDBknW4BfyhePIowxP6d3i96RSgQ2YwNceKMmPcxx+lYsDyWK2j2ByNPa
6jJS1pcJWQfNgokzc2rDJanHmGt+GD9N861KlOHSS68GkVb3F3XZ6T00r9qkV9Ek4kCRk5F9Gr31
HHV22gjDpplDhE3Ufm6ugiZI1PKltlIPeil5q/GIxxL+IK7lwtiWSnMhSaU7CBREjLqFp1ATnFWm
H3mjDL6Zd+ey6VU/UIMBPShoDSvvlmOWgeABzwR4XKoIY2dcBXVIidPUL4NS822mDmPFxZO7+jAQ
Tq8qy6bJq8M98TMaaLRlhFnRKmxit0OLV5X2hkRyB23Zu9IZ50ZjIYmb7MKxJTzwp1jr8JHGIqAs
UbQXAZjAmhuMpNaQuUEPC0PwklKW9d9myYknEZSvsITxkquj4aWSiZSaIdVCbZeFWF7jCfdwkN3N
n7HNstgym1EGpNV6dZ4s1LtTQezDkGef8UA9k8/JnzJESKiH9TVtkXMEBr2sReblTZqRjvSS9Q5h
3fRbikniJLoeJKXf6D+hQJcRjLzOwl4286TsFosJgUES6WHu7vpTK6L8tYZLluF+zzQI50Oja05W
ihfJHLlEhbKcUyj2o4QjDFLzgiJLgReu5UycoxbHUWH5YV1+i7LYVEFh7FWZlnoUf0pTXqwILdnQ
nVS3ZgsBQS3Tz6aV3HgkBWSINUe2pHtOCyxpo+IGatT0oexqhoURsI9hylFe9cIjv3efNRbg+fs3
TSHDy6koQN3mHJ/rzPZTUtgoQWkSjInuJhviB4p3VaO+CDlJ4lCjtkCadhV30dmozchsuBSK0pW2
RUC/oyapcdVYdX9MFfskcmr7cQyQSZRV4PUF0DfCnZN1VoJmGuPwO5GqTd/fF9X4TxgNRzoS2Frv
PDBMX24rZgS5Uk6ZYxL23k46AHadw2KINV6XgLYUZXhKZTRAZmEYnhmLn9iiqDZLFYxQYd7aSjYP
tdKqXpYzBp00WEzI1CgZ89Ztci1dzWamHIJ4ida9NmRernb1o4r5tS0yaRM21RkZWvVgDVJ8KDLg
2m2u0WNqO8derPPUy8N25IsHEeK5U5r03LQVWiV2FamUapRhUnAmFOVkawnzVCtOvSIWfwju3IWS
SthfR2xE3as/i5oYhwC0n1eotDTVuG6PdUuHcUlZmjpuz0LVKW/iWHNr0e/bcrrJoT176QK0KB7B
KwOwmRiU5AMhKfp93+qZx9hJe9LpodD55PvmmrWOc7GEsiAqzVMEjIzBNGKaAGp4vgxQmvi2KR8u
U/MxyExwhpRGDWA0xtRynXp9M8GeLuMne+nuApdjP4eNz9GMBxxHz23dRF7eIdsKZYnS5n4zLoiy
h6pTHUI93KlEDmiI0K1SfdnoA27UBGuEOSm3TA1t38zskxUwqLCh0LeStYYfTnMlBNfasNSQb0vS
NAh2OIennlzpjWIGX0JndoTCkcbjKPAKjC3TLN3a2Dyf6PMTSFlD/NRJwjG1/mJNlq+bGekVY4x6
xzY+FlVc2YaA0HUa/U0xUvn2wPiFjlKgSwewi7VEWVyMKMRa5YeNWVeU+ZT0s4Qwsz/lcArm32yz
jkmzkjc3TYPyZLHapkF1aJV09nTRDOtlVj7zIH0tSbaEZLb+3cq0qOh2KgocqeKAZIy1RRwJ5bVy
754QsFdoZrBTItwkI6ETwWwjtYkZVia3NpYJP0+YTXeweGy9PSGfjbzRBnWl8+QC+rr7F0r6cFml
v1YSZdAolcYqFjAkJ/HQ0BQ/lopBqre6k6No3bLIcTah1cHC4Ea22rtZtQWbY+ooRCOGQOyFMdEI
tJUqfJMHaSYNw+hHqD4mEihEzGSHxfTIszIuH5pWDeiCzfYTLYQvsegXswqGRwWMUNMm4ikvLmWH
qId6u2WGSM7QSF8MA+ChZG/O2RufkOAy9k07m7l2pvlh58VyAtgktuLHSq97htYLK2q4FnpTOarJ
ALsRmk2euPYnCYrlkpaHeWrlSz8RjhsO1983Y5U8z9OcnEarHa76hPqfDRcKRFhnLjzkxQuXAF9I
g/w9jpA3mfymTq+KsySx0ZeoMVGPAlPX4LNWdaFtg6ozcIvIbNpGcGVLLE96AF0qHKLapVdtXeVQ
tbapbmUotlJGcgu5K0TP4S2pl5s5QbtTwA27bT8qT5yVAVrmxlU2ZuQMaerJhdIisrt/yoZ1VIwy
9CFaF0bU6dc05OZoCSTclFFB52KsVZ9E+dnVMmA6fdRNz4rE7atkwV1pykOIJv3LmDEORyMvroqf
oKq/2so2sKqrxbGQKxS7lRkjUFJ3jbFK0GUi1NnFC34Pc0LJMcqp04eoqYea4TqhK1a5uBKv2+pQ
i0g8KcoyrnRzeM4yhiil1sxrrVI8ZoXn2UofrJ42j7RIO2CQhIKFSrhpDZPEsbG74gZb23eltTnF
FnFfW7OwB3fsA3BkfRWgmYtfsnBuEIwwuM2lOtqwxcUeemf4LaXyOsqMeEnH8xm40ZvuS2ZIAeQN
7d4xG9RNp/rNgjUghK+Y9EwP7H2R1/7ErrVV7OIZJM3kp7QXwyraGD2MBpNnSOG4sCkYGZwoOM4F
/apcsdj07EFGDQUfBcq5rDMYT6re8qJY6F6i00jsBuuaT4wEx7jBrtSVtW/koUeO+QzWXvnMWCjQ
KXZYSDQicDJT3/fcN10haOAWS+UBgtIFz4higN5akre4Z0DelD32oqpjXBzL0moC6DNPgA8TYrlX
8jT8Sd5bc8nPnEXQqHAxi//H3pk0xa602/mvODzXF2pSKWngCdVTVBVQ9BMFsNnq25RSza+/jzjX
917bA4fnnhA057CBkpSZ71rrWVl75zpP0g3U0UMiXXfLDkUb9R31eU9lETSXZqZRPna/2JzjtZ5h
8Mixp5hq+FJZ7TzwuDm2jaTqA87CSvrYHQIrau84TY2WNNn32A4IL5sYCVa+wMv+FjEO5FFyC8gm
u5qpvbPdiQJvLEd+wLwucvwfV3JvmJwmCzXaa9XgKDXQC4rhYUzMYj/a3LpoU0nsTDfiLXIFuZtE
7bSU0KcUrp9omtctu7i1W6ZXDLdvfs0rUmSZ3OgCc5e/GMt0dCpnIEuhzq9hpe+MNvzwZeWvk1Fd
dQnmj4rtPxHr7jx41GwW5GW0h8O04YCa1Yyn5rHGQxzH2T7R3sdU48XRJAYOjCDnjStIJBldvw6W
3g2/yyT+Pk4RZu6bdzYbCX67CJHGTvu7ZKZGZjC8g/K3eRQ5jw17E5ZBjGuDz142Sv7WdPzYata7
JgnrmwYhqo7/eN7g7roch17u2+M+lULvPX5i3KEs3WEWD8hapXmzGnOOaQIbOrMxbzMEQ7EK+vA5
W0IGOmsP44xxI8mG4EgFHF+KCfKzSDzp2d+FBB/WSxRlH4JVHOoAj0xU30mr6C5DJd4pdL2RSWyf
BUrPPquiy5TnpKBUd2KuiYFXTt5aCBsnTuCRRZrlBaN8woVSfbI9+M5oYUN1AtQs9x6dCnv0/qPp
qacoQ/VjC9fi1F08I1nfrSKXAqBZGC9u6Rq7gZsL+wGPi8SOWfELEimiJZOQNhZGRYuHpEJANyJs
xmWdZDsrwzAvrRipymNoOtv2Sc1Jdue2X3DRu6OI+5PT+LdJStKntGV8Lu0ey6womkOQ8Hzom9k/
9EM/rhktDSsvZEvtN8a+stnlZd2JUMYpZj06cEWGXKHWKTQ8xHxLHnorJGlhDaRADAy2UR88W8Kh
od41fsq0/pqNMTvwAJYrmzt2DXEdQb1LbKBHsCCKwHxym2/QvQAu577cI0ox9SdvaNT8cPDSd5WS
6FNLGRAHGTEj10UzubLSCm6pKmR2Ojj2NotZyqOeXSPceudYCnUf2b21agi3VwmOD8hXRltVWxmt
bf9x6pXcC9OrNnmLtbqOx5vYxEzYVyFRvFnBjBLss+eIekG9qRvcBZM65hmPcnZhlkmPQURTUrtO
NMVaDVqulyvkaaog2KcA/ayUdWKeaz2c1TQi2rYvrFx/9cSvwKT4oXEkCiwZM+a08OeinhEVxXXr
ETejqgJn0w3UGRqmuFKyHK08wZZ8NmNrZY8gkODN9d24sywmaC0FNK05/wgbm3Aik4+QDXhplAsX
dfrU1MmsXIeF/SGtQtIEBG/9EhOUk3OYcJXPU2MW35pzeJ/2EP5krVZm/CWoBbyxfag/vcEWzcfv
sHEU0MeOrSFHv01VRMVW95cl9NO11VHmI0xQtkLrVECoLSz3fh4xgqXo3Ku4SV8SxVmmZ2sANzPD
kJihClTeB5aU9j27lMLEXFjhcsolk+rZ+I47xlIq+rAcvkHAPh8bdLW2BnxigTPfeyU5T437gCwE
T2hbcjiI0hmDNcJJyjhrs8zwy9GlwS/mN7BmNk2OMlGdDGMT5ekXJJpgZZuMYqYqPZa0DK6KHrGB
+RpjtDp8mtxZrHBuvP6e4tIGH7DhnEMWs90cTXg6sbwL/s6/RwlfhXxXdoxx89y15rgdKw8gbUSj
zvww2IxtjKo3VopU0jQkN4VCMY3SBuO3V7U70UmaA9na1OnMVdSER45n7jbsuH0bdoXLDM2E3n1T
MKopvLLeVyblVxFL/0Y1A0SdQuqD6sRXamiO94N5K2LOyKVdFTh3D15+NSz3rZ3w9NFeimm/Id4g
7XW0jCon3eJwNTGQz4W8Atw21jRMohTnjbWPgI9Pvhcd+7S4DydqufJ4sXSqAixXHV5yDk4nXU3l
Lgqj7yHv49tQ5VfRTzmpyvShkwR6UcnvWoUHrOPgvWFKQphlZOgSZPH0WDjJaw/OhNH6dM5VfVTJ
6B8rie12qign763+NgzrfBUXOLBFPV6TmbpCrhGVUhgYTWDufMv9p//9/ysY/7eKFRADyAr/EW1c
f3af/+3nF5Bw/ix+/sd/f/oZP9V/FS+cf/6PfxcvAudfLuwAdNffhpX/Kl5YpvyXdGzbM8lfLuLB
fyIOHPkvEUji8pbpBUgUS/Lz3+UL2/2X77ikQoUJmccPzP8n+cIV7hKz/C8AAGuJmNos7DbP6d+a
lf9VvjA7w9ANw2305lbvpdLXRpN37qKCvJ8n4dk5IeWW9WMRMfMJ5umu7IN1Mrt4r/hP7Ly+c8K5
wuTvbzHZPTpu8cnFXSIAeHT/0Splas6oVoaxI36oXf86dNZdW7nrNp55yukYDtcMMNFgTcpMW7FZ
bT+X/JgBCQ+oEXZE+4LYQ1ya3tmUxAdngX3r51uvJ1BXMrYTcXmX1fipwsZlMVFnt4W8VJWsTz0e
wxujce6RFNWmVPNu8LOtO3ZHu8cNSDnYqjW+0yCISFPaDHJbIJfwNG2P0+9QJejYFjAu79DS3kXz
lVVvfJh83IUvBWPK2QI27ATlzsDzowL2yAPWpoEqFZAAQ8fMe7R3ZjSt6r7Y+qH6aHyLaYq46z3Q
piPlptLj78EEwyMY1t5WGHxuk7wpjtVg8APYsEkxMNinouAQ7lHF9vuRGBv79Pue1UoHCp958tGm
zgwaOJRVSbCjUQF3iy3UnUlIDcqZI9fTkjO0ZWBcSreK7kNnju6rxqDJdgBTOjnpps07YptuY95H
M+FIgnjVPx+yE2hwFdxkJhNX5CNo424injytCB96GlNUoWMefOFrFJbGxWTvuO2jRBOK9cPL75vW
n4xLbVdXTbolGGnKmz3GJn4uAV5FELvLwmaEW/A5s4U7GPIqp0QkxQr3hbyZM0XC362caJvaVnys
S/xEJKeXOtLMvyNV6N216P6xMQIS16N3FwwVnmK+zzrJdXw/tl5yToaceXDPutPF7KFa0x53+VDe
B9I0TjKb+qtilEIul5R177ndtWxd8WCZZx0cYmG1z/gteGN+AK0Ir78f2C4NgkOl7z2X8MOQymdd
LCBGI4HT5+VHx9RYu6VK3+baBIVounKTKucNhWV6Cp3uRXMu+UKww2M7C/GgZWjdVk05buLQJFzS
m/1x4pomXmz8LNLBQMP3WTeWoIPRrzZg6crbADnpyZbOOZBpd5Y0n605sV5Ho5r++E2BybJGCqnw
A1uGjN+rgVucwW+bCayz/igf4yFLP6wQtwnCjH+dUpeMl+nFWzXIgE2Sng95ikO/4XV+mPG3rJLM
dz/8OTrUOgu/NKe/0BgvwdgNz4qZwD6OmaX7ylFvdIpv8lDaFzfE8W0OrbMbDTckXTBEL1nGebku
qiWajSenyGDVazcyt79fDVDlrV5kq5QQ+T6r++nVU9brlBnVvRJIBGOL6OmHLr4ppfSf4tOw4Khk
M8P50Ue4LHRwViPsgshCRsjHxL+LLZsJeanqJwahO0KgYpMry9g06ayf/LBVt1LDSbTFCZ9p9FkY
JL7bSMzEpMzpFGdQKexiFDc+NxvtjI53O/rAQvI8GK+VMYzX0rb3vRvkq0GV1GAvn2f8gKEwwTb6
+18s5qF9q5E+NacU7RXTQ9Z644MruuGElfL2Pz/Fa5ntIjM5JpKjthrL+tWsHTiWPvHz3w+nySbG
F4f8VEV0xJKVIzhll7DK1IOLYxvaOLubbPiQjT+fhiYunxhzn5NSRZffj8Zo4BgQ59E+454YKRp/
4gnE5q2YoH0kmflamNHab133aRqH/r51gxcXe7ZnyvwRN07+0FVsSAclVkJOLtTzvDgJvFQnY6mF
cfp0i5mcbEONQfYY2k/CdgbSqb63rbzQJUAscfzlYfMTB7u+SXHjNx7jKQajuNUzxlKNai+8fphg
tMZ3OZEGM4PqJRKGuhqlVRx7lkvakZMaEbSmYUtidTN18sf3rYufm8b3yMYJgLBHZhtLq3vbk5xe
/X64rnRMRrRv7EOrhPeWc1XlsZW9iiAIjt7saqSuwn8bgpnDAJfXTTLUDsjzqHrrN8Lx2jdzHsJj
njRAQ+vurza4n2xpXeqh0C/ScIwtzDrKUXXoboMAGe5XHygtGM6BcmC0dZ5HsKIR9+2kStzZ3MJN
ScsHWn1JC1ALEUbE9YtX8aIUXpccx6Q8h1UdcM6m5COOPFKh9Is9ey4cwzif3uwwaLeWiJJrYVb9
g6+J6QozvjaD4FkdynrvUqJyZ6cdE1MUdpHVBrd52r+2rrFNk4riJ/CLz6PCwADBUB3qJkme7bZB
2jP5jX6/ilvTywx2BMV8iCKT07T02vnelf0Ddr7++M/nlg9LnVabujBfwnruTrgFGBssb4aSn2fQ
brzpxkwfR8/Wx9/3snyZv8w1Sd6Y3JkTsfqOJY8ntH259pMEGRAkAUbTAhhPUJCWo67Ny9RfyzSt
XaDB/+ToqMR80c0Y/N8mZRhtLZ8MzswfgevH3ztRwaEnZmwSNO8YSuiaTqJ9nJv9YZkrTkbKwj6Q
cbVbL7yrOa1aZZee7ds6a+8LoyseDJ6yBBiWHIz8sWY2RIJFYVeY5M4zW2Gdz9iqy8S8DiFGBSsN
LcCgoVwTKAi2VQaQ1Gne0Z53VgSvkGrMYe8O7RcPYVjgjRFcogl/rqx6aLhZetJi/BRNQPq47sk7
sD70maT+eromOm8x0lGC4HQd/ywjTk+IDsr6tzelT3Pa8ETNsHPEoK3b8cECb8A7zd8QnmLftyay
tNnhKrDujY6eX8fWf5xxAvU7YgdAD992BtGHSqTNHl1frFyh3mZsjGaKk4Ehvb315Ngw7GSEHMdY
woP6m5EMJTxh+WJ0Lg0NziZwieeg62xQbl+cxv62CuPUeebZMMNx1TNnquPdYPkPfcWxKs2HH68n
BtM0aEtJIp+jXr1ki8tThhIFLTP51X+yGmyDS+KHMcCrG9bfumI6hNWY4MKX5wzW2pxMPHlQoeL4
IZqpZ3C35mACk9HhRxVQ8lL+6bEoexmWiqCtMaP0IT0FrbXrbEGuesHJ5C7YkST6trOleaNwH2r8
n03+naTt2yzcNfRYegNJTAxJcRdahK+GmpSoa71WnXkNveyx6oNgSypOeObfJSk0TC/h5GzqhZsQ
ufvQNm4j3V1CpuMt0zSuJiiwxJH0/aj8FVBYogGx8agd4zMb1AOq2EHBu0oNuZ+8ap/xJAbCMD4x
q4tWlVHjSOhx+MU9Nda0A1bkliD1PpbeAJxiJhnqE0hEoVxz91PZ4ctvOaAj4bZiG5weGttVC6Fj
NWL3vAHTdtdkwCoEYTr4+F3AWu/cJjXj40hAsY/VHfunbMdTzYtJco4W1COEeMYCw2JpWcWhSx7T
DJtdHHgXzESE4ZxV6ZWc7xveW7bdjJqzTRG9udSjnfNAv3sFAai5/C47s94phpUm9yMjbORk4Tn7
wp7vhrohTd5wIwKZWXEQ82hYnigxQtp30qwk6gWsvOblaeP+OmXFsTBTpBSiRBShwJ8ISXxyqS/R
BkllWWS+mJWDwEw5+Rg4yaZx0/e5IWqpcn5v5TOBSdLNHNgjGzn9gjb8rpbvY1nuO1mes9OHAwXi
dGpP8U8juEcco/nWdUKmDafHSj57RfBBgeZX6v9hBbgPW8KbTp24uEduSuX/9YuJ0IR9Z3cK+k5Z
tKs46e9xV6NT5pJiFGZZjv8yWeJHy+FnSsDV1D9KgTkqquJOlPHBRQXgoo2/Yzd56IYFGu/WnxYQ
0zsvnli+EJFM1iKd1B8y5VpmHdj57oiUFJ/YML8xw3yNevdRSXn26+Aht6f7qnIWIhAitN+fKlrG
RGMc2RqR6W/jPzF20d8LsBAT+h8pP7rPYKPV8tJmkoAKjQ64dimxp+dwXfnqPixxuw5tyUUyuz18
MD4yhnvDSu/TWny4ZnIfsf5KLFU3FWDirVb9XaTEvtFOvMHxs6JhJW2Le63DeteDppgj2kBb8B6R
7HlkxSBSYU0YfRytG5qrav8DtzXpqXn+oc4LQkrWHJU8G0W6AVENJUHjlJpnme2dIQF+ZXfwFfS9
P/U3Vd5+hEF/qAwv3QpNq1Su1LYckxPzGiBaHZ1MMqFfRzRUbjXuhpzRZ1VKGsC8ETSYabhnzvtb
CEAUCvWgv4TkfGwh0HCuHmN8ySGNZSq+99rwKanav9mEtaXXzCYdkmf4IL+jx/Tq985VkkZ5yirn
FfwRjmBVG2sjHG61q4otuyx1cAMuKTAy4362y4toulek5PxuaLEHh8mUbaHdAS5oOMrtA2M4qSY1
H4HCJBCNMNfWYp07sVj1JHdDEnLRxNMk0uO0bgK6PKY42FrSD1eNTt2dMfrMzIV8ibuk2rh+efEy
2o808QLQAN4x41U7GvymqsMu5sDuIg92gStorxvXvwyoH/vILLYyDSCVizZY15i01j6P/pVjjB+y
9foD58SDG1M7NPt+sW/d7D1JKzTKglN8qcw/Vte23OSo/UPAmK92RMqGeNrmVte8qaLddq2/mTj4
Y7hOCL2FkmytM9DHzrPvw6UrEyQS5oTO59wsefFvGjhLGFe8h3gKtxxrfcbn/qPE6ncDLuUFzyrL
JdE9HHwkujv/otzyYQp5wHu5eVI4vRh+h/4xMI4DyytFrt0tk30O6PVkPKtwolknIHIc0PSEWLpt
3YH9kPk3npycpSzBD5QV0cZqBAfrCKNTL2BTyCWtl1M0yrPkf378+0knkK+ZPXsoyXx+QMi6xaH+
f/53v19Ogc5wGgO6sHy/lhBFhbhy+N++5e8XTSwkWzGad7/f8vdTRAjWY+OBScIfvwqdqETKIZ6S
FhWP5WGnHPcwtNU5nRgklcNPXLCZ7SbzjYHHKTnQMK2gQXWHSnUXQbbAZ+xD3IZKiF6+uYn+yur5
x0unn8ahMbCf8J4GzsEZhp85o4SqquInFrFjESPCdiOiHXsF18YNMgv7ZyIakfkEhGuLiA81F/oP
qC+wWnTvEtoHFlnLNZ5KsBu9Q0lHF+B/8GuLJye9jdnyRk8Umf++N+fIORpvBswbr9/3g7n+/eLv
m7jriu08uM+E9wzKX5LPIsazbnZgqgZBtxFqUT7SLDHawAjSCnSEKSKilEuL5z8Fhb9dhb8f/1YZ
1v0+6/KHyrXMnUoLXB6qosyKadIUxDEksrzcOC67s9lmEE/hML1TTnnbzATNaDT8mH2ygNqJ7KOp
HeufN/Z/vCeZ/7GViriJxyI7AiRCihrgVtjpNS+YZSvnbHjuH1sygzOvnR295EMEvYdAQ2KdArf9
xuL67CXjnsyQa4/nAnxLBvPSMTe2Aanf6nc6nU+OhQlPCvuOtvqNcKmh6Kl2qvQugR+jIUMxeA+5
NjikIHvax7CCzKdqKBKCo76XPOja0bdTv+mkt+kC46NBbr4ZvPJM3uRPPfmHhGDJskUAPk6tWQjk
LH/omXp7eKe65mHEolSXzdlIom2ARGeZxkcXDpR7ZGzxGwRSEtl9/GHNJkog+r2aI82MLmSa0hKc
E+a9XwJxiB/LzA73Tj+cA/wRNwYkyxkgohJHTTZkCUGgowsz3RUjrqm+AbHh2xc7TC94MxqcWRTB
ttiKNQdqrFKEy5XHFYzg8FT1DC4rElBLPjF/mpZMm7DDV9yBu9BIOV9QS29fhNeCFM27r9AHJNqm
IXyWOgfOcHAw/t0Ip/6b1RPdasatP/kKqaS/dSUTATIvNxpJ8Fzz4MdGzoTErw52SXAkr3V9UC6g
Eb/eoF7fNUX4XNVYQk2RXdLGq1ZVfZlE6e9a8T4tkIU8JjCpYsL8970LqabD8EZgMXbZN2KL7Ltd
gc5+k1FYSerwlbTQZrQcd5UT3cYVnzzVOMYLD2cZdiGGVJiZfIXU2F7JRIG4CKjZaWUEfkVMz7HL
w1togjZG8x4zdvDnTbhEsItWfQuCHx3RwE2apN9pVWDvytixZhN1C8OJQoOPMezbW0dxcZYRZLOh
3ncSk1NRL074MP4zTU5/TgS7RwdzYMYylvvBa5q5mML7nuouzVFmYb+Xw1uTY3vq8p9BqldLUOud
zd9dQEazN7Jq6xI+WNkhMcH5iufEXgcmshap+RU4t2ewYsFaxDT8TL0Ni809msmOXNRj4ZmXCMZV
2U0POqqNg9W9CZo5je619yB3xLC9euTeXDym5bSIVNZ5sHo84Q0BLF+7f1vDORlWCHg4vVTNdMMO
/ZSH5EJnZ3KYoZxVrn+aOXmP0nvHahDtRL2GBAcKDrbidpA80VxKCvUQ3wU6jN77uvq2ZHZwlHE3
iv4SRi8+N6Kj2YX4NCvWfvhgBTSYRWxFpKWujTJfhZvSs1heI7tYq3xgjc6OcwOZtfWuuLgOoqs+
s2bxpSShhRcooDok699jEcS7ehZfYSopE/Ph9hRu9YTF4lrM9d+YB4U9N39rAx9F2D3kJs8cD6yM
CjEUlV+YAL9CHgrUw/71A+vU9fXt5GHNSOuPnsA0z6m1EiX9RhWzf20RARhA74KDowMjubHfW4E6
G8zzk/Kta96s0Mg33F3PlTk85L7/QZXDgtzAZDz0gcUPOJ/8cdwH03Nf4LKOpuq2XLaqYV3+7Yxu
ZyKt3zih89yyBPSRdRHBTB8LgVZrKrfV7G2nhKNgOkcnlj5606KH3ML3537bLGE16Eau4HfHgvDK
Jmgqz9U8HLoxekj1/CgFm7KZSTFOa9/FDTBk96IikJ0kxmWkcFS50KIDWI2WuaTCvWuTyhRb28F1
hjUTX5/ptPU+mMFjjOEj8hP4CewN0Z4hijR2i1bPr1vli2slS5mHTOygccNFbHjmanxY/sR9UdOP
SfxD8kSAebC1u/gb0xfZiLpim8OvEL8Tr2CmrMp1N1k4ZtLg2R6t0yD5oKRmtZ1bnp7F7B7cvLj3
k2+t3Okkkhj2hGu85Un+7iTYnRIqZP05e2kjmhKG56GsFkE3gQvNjdTlXPr1XzYfz1gBq000UghE
k8qm8e8bnIg3wxQwbTeI0nsmBRg97vbJHF89yS9lAznFe8ZhEVV9sbiebItzkczukMf4XhonE1cM
KzqpPdSuXdybXyFuASuL75NhcWxhne6D5j6ygNDYathMFaDB3OYP2OKc9pfjdjVhya4i607WJgPB
LDjz6h90WS7VOoxDjNEEwSwYGy1VEJHvYiwHBSI92a5D99lt5MdIQA1t4zmMGXDo4S973Jc+v7q9
BkyBgTwcsElwbeFkd4bpBtmJdSXxsSeM1KW07nQbtng0OPT9dQdpbpoBE/g4PUY1/37eE6+ve6y7
g21/FT4NaGqgzNYNT24PEiWnCUuZtM81Ad5zhetWmUc7R6TOJQftYEBz7yeXkSv7UsXwycRVrC1E
t3k1J00FKsZGOixJRCe29T5bn8WQvkxIMDcF1ENsnjwhGwXjT39KIuY3/hBvZKGtOz9nH5r7BW12
LT/eWAFjcmG1jQtTRo8lc3dbECiZ3Yn1h2iNZ2EYwNLQW/SkuZCHdN4DZojZTVgprLK6i61dEkf3
nhHLTTKRmhFRRvoj9rdD7lk3KeZlsI/wVtp223bB62xOO2fovvsG0sso5ol7Lrp4efCgbKaknXPt
mvG1doKzjtAy8sZ4Y2LrmoRsR9KU+2LJ68o4YZ1lQUuS6SuJpz3hfnq/svbvLJcWOs2ZFZ0P3x7h
9c5jIRiATjNfDw5h8sXY3uMWwm0BZbB07He1TFNYNv6MvrkRQCwZYxGnnjGqRZb3eCMVZYwxQZFY
9Juq4wfQsYn3r2WqPAMStYoqujNcUjEBl7hVLeqmjpp1U9CsLLS77azgm+3NEk5Yqn4NsANgQfx8
+jvG3XdBX2OXeOxdg4SOaUtygAzxpTrV2er6Fyvg/NSry1hseHmPHjYOAHHDxahiZ91rhGDVBzd5
mz17c8Ywas1mqRdnTzY0Xpn4xfKosu7iAsJXGoXxi1mDdmqGKNigsMEqUp9iXrBFur/FL3kqR5Gs
SQfzh4tHxmt09Pq8Su7AOR0NCghAQCB7fDIzQrIRz7wAnqKBseLgBfWnsJGT4ujQFSNDLBg6tblD
V3nNrNS+GSwoBAOe7aSB7aNjLLMUUpeZOW8qvBhTpX5KAx+KoZytYM5v1S9Why4tE49hXpJ81cdR
FXAIQDLh3AcvepEF+Mds8n965TP/R9fDvQZHZHkCFAIJetjwoxXbgrIdQHwFFACMfGkd0attB6/4
YNk3RPqz7KeF6ECfDd6UzunNJY62Ucp74ED7FIfDp51hXpo6f+OUPsQE0wFP6E27sOsprhzbD5Uz
37JwkK6xAAM67CE7TNbFRSh0l/hQ7PPkc4zsZNTJVo+AYAquyQw1ZWOHLOls2UEPeAEiTivZgub+
vp4Ve3R3XBfaoIdU/oHldIsFlox0T6V5SPRynUrLWmuV/mmQzODa0jSZc2wmSRGDkyTJJxkC8i/b
iAGEA6nEGg314YYx3G2HjbFJuULgYSSy2vklAsDCs8fGtoRZfyVLf1r35vjde3zKLex7v4/TlT/S
0jMUawZjfHZ87Nx+BqWEzSCujjpQ+7qlnTjExrqyrHY9FXBSatvQK0buj5MKwvVkzXD2mrLb2D7Q
qiExF1MBm0n3NfScBzFGOex7poS+5a8Dr3yvYO4E/QuesXIdV8G0z3VoHR3QpqXXbIXds7d98mrb
W8PDguo152ceDzCGToU8hzl3MsqTs089wwUJAhg/dIhy9yOLTC3bifXH+kk4/GHfZqEN3C3WPR7Z
BAmL/JBN0x12W7IgcCc2uZCHAeICT8P2wF76oeoRe9KBijgHtSHJx0OSBWh0ORSqnGAXjPFvWwIZ
Aqq0gscd7ow+W7upk2xLxRZBtOPW1xAsVQJ/KJUcyGdlvFWtd5s0Ybata7y71dGMarIAEQMVB/vR
Rkypfatz3YHiWXzIFezpqZu+bMwTp5ygD+oZka/iMQF+DAvHO4V9hu0ZSxOi0aaqliBsmFzDfmDj
4fOTTcBaG+FSyGrR10XsKkWdvOna/pFz7LY3TXz06cLmLr38VtOzPie3yi7v3RJhoeacDc8xfxx0
FLzSpMYMp6pd4w/Tuc3cyV0OddmaWGZEoC6h7ZNESnWy49/7jHXNUxNAf0cJzmoUNSw6XX6Zabyu
FKDKOfZ4xhrEeycmIiJKz25p37KEPtYetQheWeCNIwwz4py9SSX7zVAKueL/YthGL6BllnjN8f8N
dL9tLNYoWSkqRWyCIu4yyUGPjDzrq8Tgeuxr4wIh4Bh73rM/mWjuYZ5djHTltvm25lfaR2ALDhxL
jobIBfoB4xCsEYessVdYjihkNymX7+c7x0vyNeIO8TF1X7QZUgfQHvLP4AM0fldPd2R1M05MrTdv
5iy+On7p0FZZ9rs8qc0HP8Rf7RrOcxNUjzruaP1pQC1q7TwnIUWdYqYmHdGRZoi6WrXBsJmZ+ePV
JfZMQOM+N87C6Mod193JyYwzpgKcH2N7tmfNXIIzHOadpLl1Z+OzidNn/42B/jE3XgYxHRzYzOsh
crHRBiw95o8zaEI7Kn/JaFRZZkEoDv2nyZ5R1jiEsDc8aF2Rbs14JWdnZOfqF3Ij5C/eY3jVto/8
VjrbaV64uC6NxFAH9IRDM46Ccp0V3QiGUGLdpmQ8DoTeKpPdnl3Gp6LNvbOReccoBWrrOhmjtf49
wT20m2qfjvkiZFBxMo34nekgJ5EOzIuEeWf3PtZtv8TOHG9QPsQ5hwgz9CuWC2zSRWGvCsRlY9VI
wkfdQkxnuT1qRLpVrfSXrAR9pqIpQeMs6YAafdL6Yym/wfmc4qt0TH9TBP2pINes14A39qEBn23E
ZI02pHdBXtGEzTa2TzhSMZRvnBJuQ1aXa850AY5EEW6AnHU3LkzQVjP4diX8wSaEBeSUBDzSqDiS
S9fbrG+AOjYF/Q3qb2SljLmyv6JqfdhQ7PG0dMgCJJSFE4QZyq0Xi68pGS4B4HYbsGNIOIR8k37u
qvSaCsaW8ZDehjPJbH4bW9PkkHx2blfjtyW6G5v2OpZeuRVlmW+qyeRS13QDANN47JyC5Ab+H8vq
70PqK0teNY77xTUToHDrOc53GlwRJPjsjx2j8piyegrDkQKE7L1HfqfikwdR0KhP6Dj7haXmzR6l
lTRQe1VFusF+WeoiTU53gqntvxH2XruxMl209hUhkcNp5+wcT5DTIkMBRRGu/n/otfX709K7tU8s
u93JbShmzTnGM+ANds+eMZzb0Q/hxdGu6xWC5bIiwyLJP1xAQ6yc5hEiwXfollS01P7Ut3CU3G2s
LHeDh/t2HEHkBmhfUSDtENaQUj+7EfrKJDMma78zo8/YfFIB57pX33W1fUw87EOFzDa1p4WH3DAf
pNwppioMCnUMl3H4wmCqIaWT+rMG/WlXUD2zFqo9XBfsbPa4TIbi3fVBJVbzZcmPB9b9ACAcdMou
T7eigE1LQM4CFl+/Ei4Oj6pofxjFVew+EF5FuNMVfbpyDPJDZFgHd2Cy3TPsQrVkL13FAcdTszKk
rb1tjmh46XTYwYMW5w7ii/YbaRebqFxSBrij3I4WqYeMr8BGm9q2Sig2DeN50rXvJhpAmohq3+hB
du+f/EcD2v6xBRXaV6lLvzN6cK0fyFDtbZVOdxHuaDymq3CIh8tAfHo377haiMZW78wm0Glc6vU5
nAp1rvCUbH1LgI71I5iUriyXdVu9OL6uv7qtc99YzmflZK9RYYB6T0d9w6qmvHuHBuvWCrL0iDQK
WPM0A7xL6ZzdggUyw8FDmwlEtKdIEnb8/SBespZI0hAf3UF36s+qVbhIhbXswg5UniVZGCgxq46G
j2i0Bn43sMDI2cYSieTYovmuMeSWWn4JRy3bG2ocbwwvPcFOhE2XNPrenfQbGgf0sNNp28wMNRZj
Pe7qnbSNln1JT9IhHfplm2FJi/qWArtvTxUgvO+4YMQ2QChI3WAOlsi3IfOllQ7KoauHHvwuGaFO
eNE0KAKYgQkiV+llHN0HA7vAvZ1X+6Bv7O0QGQ8Js6gdaQ+oymV4qBzX2JaA6RWD/YPhB2fNM8OV
Phgw3JJHx1bTBkCQBtKuNw6m5X+kgrbjiIN/MxYOw8OMZAec7bUtp7Vh43rKClFCJaCbHejJszG1
8Sr05Ueb28E2ZqUpXa1YjQ0dsjCW28wa0L7nNpq1LFcLh0SMPToQnaXkPUdSQcxAibUTYMFSJIyB
+A7vUaLftnWRseuGCd7lH8qpjRujw5lWfIa6kz3nYX6X5Nank7trKQqNZiyw1yZcZ3WAC6+/zzkU
UNRKcoivu19tFXrut2zki1Z3sHXcchN6MQlNlelg/aEwEs23GxUUpoEHSFyKmx7vGuKYQ1/NHvM6
2rNOsZsq45cekfsms5D2FUG4HeYd53eCR+tiJ8mbqLguF7SrE60sF3mbERHaVjvLtw86yqQ9Nhgs
fdXQrZq1Z1E+jdH0brEZHuCquiIlxrxiipHI19DE7h9k8q01GzAKtPAAqcqfvhH5NmvLeBlI2a6C
hKZdXVIgd/jR1p63KTSO16nvWkS30Cn0hjdrlsEyShLcQCVRkso7ChYbryJZQtVE6lDdrzylcE4C
dK3nNrFdJWLVVfKxSAK5ka070nNyrJUTk1bhsTgp4g8Oo4MJMm3jp9Ik58OssEoI01LLBpfMRo9Z
+dCS4Mmxxo9GFn9kNgiEUt5t1ej21g1mdiVzhyXClecsoQTsp/K5I4KXJns3rXKvuii9psdrAn3w
Rf+oKxKp6hVpA2NucUsdtoBlGVHt4yAa+EPt+BgUQ8FZ7hSH63f0UxBr/r9vM9m9kwP//99xnJ/h
92kEpRAQiFiWRyMtazLceZXrfUTtIrS7/kwf3x+Xv68YYmfLqJF4B5ic+NX1Af/z7e/z//0NtsPW
9Pf/13fx903+fUWud+20/t9bIhsCgFfbXX50G4vjY36P11f/+0aur2bGblXsfl9YaBklxPWudeZO
MGzmR/198uu3v89y/U73hobzgYN0H6j3aE5E9os5TrkYzL+Br4afkFA8p7pe8z+v3/3e9jcO9Pfn
FJHV/8mD/X3MNVL199EQJJZDmNq76+3/k2P698H/9bjrg3+fxtFmWY8Bespw6aOvE4L3qBuim983
8jd99vpc//Nt1XKsrn+frWxKAs8G5ykrerbmKtPHjd+RMjEHdV6/pHOEZzx/+ee23x+v35XSOwHU
CTb/3H59/PW265P8/jhRhbL3IbHg+tvfX/y+2O9t17sAFyQj+b+e63rbP09z/TGQ8HSM1omXdEC2
v8/398+9/nx9ubLDKrT852n+3um/nvb6mGwKDkHbia1bufLQlpRlhg1O4/qjFyaM0eYv//yoD5Kk
lH9+3eubdCKiL5g7Lnrzfx50feT1yz+3gcQkB32wneXvK/zzMr+P/eel/ut+RhDynn6fC31hfYAh
cb35+gBb9MwA/3nS//n9Py9y/fHfX2tBIXYjHO3//Aj+633959Nc7/j7Xq/3ud4WoyBb95710yUd
Ye6K+McY6BdyiV4y+jAKq5G3EfSGzd/loreeicPJQ+jXpni6rgYVLbxDnFZQ5KzMi7mC030o1maW
QZ/r2bK5ljZfxLI1J9yHxHWwZfrbHEdkSEdn/o5uXWOzxXahvxsze74QFzOjdab7xaMeNgD64nSb
Deqx7hJajhotTa8sGSO2qP86N9oAOriB1XJ2Ji4cYUfN3Bbj7SjUN1yAVRajJ7BSyd6DOSw9wHqW
644r3QcdVOK/2xaG/h3kw6MhgmwT14giYDEhLsKMPxphsjYLqqQoOxdVDUE00QkbnUR8clFBnaN5
DlOBqezH4oI9TKIAqp1V4JYIAiiFmaKLtZ3J8E7U3X6Adrvw+km/g5ls7qaed+ayXR28F0oTtjYy
M5CwU+iYfhttoGZQiTEDVwVbfT5TIg7QvRjpDXA2d8nMR1uHGlj1uR+DqQWh//Rk2fm+FOKMSheo
WWu/1X19qKox31BAJWuHazsVyimOmEilMW03duwVCEYssh3ooIw9RkobEIpsu4pSYwEGi56HBMLZ
13x2jrR2oR/Hj3jBl5MgMEYLiVoSbMyhyNxkavjTenwwvgremKkzHlUBFjlYQAkEoLBM9YMhxABA
Cre20vFbWsC0xiZ+qdWfNKSA1HUqAozTOKRJudGE3EmT8bfW+NvEdvmkIUEuRNvba2rjZ2rJYdPW
OlZt2X6DqigihvboAnmsSyt5a2njeG9qEaqWXqMyz8mHDbP3VgXxmvF9sRMaDQLRxc3Gn8hEtGW+
8dForMHA4ItG17jLfAzyQbMDSaKfhjnIHkyRdtBL/tECDqgHNJVt2MKPfKz5OeeSNNnZx9ofGRY4
5ofzfASZqSvPeTz9MMKmTG4ZD9T2u9Q8opbM7quGk7icmXvgsZmDDiNSuTgGwmTrqc1+yjsxpuhJ
UgoWdttCOEe+ZdmZBpJaR+8sR4YiEGRxOMmXMMkQ8+PwRbOGLRorbeTzWi5KslUpsbB3gxoPTeeg
o4MGELXh3UiQxFT7nyIn7iXSo4+RmAbpa9qyh9fSG9aZfkJ8jEusXEH8rc3K12qI6WsP02tQjzrq
E8IkfrygRHySWMneMnTc8Kl+N8mQQJYxX4WxehwNEo7Il+l8qu9Ko/OaqWZRa9lXVhvdZqopjGk8
CrCaz/FcQTtpEeKSKruVrUp6IVp1mjill70kYCMxjJtooDtRMH3t9A/Y7ZQ9o6fWXfPQZvUTYvp8
GdCpdAPxZkh1YYZWLH1LbnKpnis9JCOlTemMhzqIpoz0n8kYiPWIKrAQI+OO1It3jg1VU9XGvZva
4K5pimJbIzY937QFDmhM5gfLN6K1DsLKsBBc5vn4EgXqA8hJw9S4+k6n18nM8LWjDtWTmNm9+eTX
8ZPCfUAkioRvcgyMje6q4EMOGH1pV8G29pZpRUHuhuafMkdPrbtvae9c0GW+qDw42SZ3K4z+bOno
7+Rkp2uFpEWK9oSVnWyUctxmcewukqmMd+OnS0pNmD9mZfdudCVzITne2hBf+w7PoEsnEYgSa7fN
IKxW5cEoIRijhVlFHBMk/HSo49IPxYe0aARCGGwWezFgwcKmVS8le8RYp2b38Pu01dEiYKlwwjvU
KHLdh/B25xGyO2A0LzsWAoDsaPBe+4j8OoO0OoR9tCPatngRjmEtHQlKB/oJDuF+WrnNTNUYmIih
sl+3Wv7spuadGubm9ItymfrWSYaVEkFEYn5XWvZdJOZXW5P3SsN12ekOccJegWOmo1wDDLRMDIQ0
fj5nUYzRq4FKARgTIWRjBTyjvtSQZotyPImORmdLw8rsecOxuQlarHe6NJv1oLn0NXVxw9wKFspM
y/Yi9q3RACeOi0JB7IIryJBMaY9KN4I9uG+Yqnuth3kory5FRmPL8vZ17X60iVhXg30b+3NOjp7v
YsMjUiuUACv7EP2H3x8kk/XIhbxcc9Vdd1aKrr1X2crVmN0g7oMa7JTDKrS0L79mwBeqYWvNQIKx
R6PkEdE6NI+2MW09WZCUYZtbZ+rPWVw+lYMO8D5HiB4jDxnr/C1xOMy06jXQq/SggJL5C0fU92iA
Hwsnfx4nSepg0z7GzfRVDe6LWaGroTVcuDWEg+E8wfHLaLgaLVJWw3XPFb5+v2qZpFYMZVybNMkQ
hUribqH34S5BqfbG1P49iPJHV3SnAVpxqvcIXPNdS8hANnBMpLLdmB21gaVOMbjifMTnpjc0tQC2
3SYamT0N5yfJEvBj2HWjPsyZ9SW9i8SedDTOzfdRDu9Ry0zQy5GE+iRZwYJ4a4vsq/eSJ6se3lQ9
/aQMaVUE0lcl+84uHpmvMpHTq3uBq7RLtJnXBW6cz+MBIoTcVlOi1plhdSuc9Vs7iD5aHypnhy2H
7ua69AukH9L7ae12WkmusItOImEobcZPOnILze4BnetQp2aPkCzvskjH+4IwYo0paju4wf6taNO5
QebvYZCiUe+RtmkjsKqY0Aqsq8c679gvhwjabc/czTrqGrzdQnjZUTpfeoHxSO9fO97UXhcvCbmP
C33Mn4NGO7LyPSQNAJSuI1TZjS6GoExwzK1MSbirCFvdtbSQWz4WFgmkEgmWqwX4luQ9Biew7Dxx
SUAK7uhIrEklcVcDYKiqesg70G8MhTCpcPYCDfvJcyL1st5ZlkPzgirkRODibefnSzhFd0JG706B
mKALaEOlff7mBYQRTZg9l+1EU8uy6Q1PHBsZ6faQHCgbGqOnogEiRgYtp+QW5/+0D3AmV8UFbwBq
G8xAeGY4XboXV9KWm3J4P21U3eQpDRJcPnyac3CAVUSPlZv/iNm4Usi8R3rdPSU04ndNzFQFQY+H
awGPAbrzMlJHpFvxAg3jOzaYFUuuuXELSPetOltNcJawxUkjQUufJ3i+GK1bGroCLNQFlC2qBWLL
rAkEorL4kD0+Rs/DQVCgslp1phcsWjzs9FmYrBYP6KkFxxxiJjTUC6dt4KypNTR0+cgFjkryLvjW
h647GSDJWlk5Oz+Uj9qcI2ME3Tua38U4Etxk9N170wbQsnymGsnIb5HMgVRYwy2HF1gRQaRrnDwU
YTWawBoIA+unjiC1yHaQ6/y9P+UvHkW94AreKYEOnNp47Dk9K8huaXKy8WOpqL8ZgpTDpU7uDZaf
VdtxroVhxpiwPkVJ9cdrE9rjBuPyzCIa3b8gOPk0BlQpE/kUo4FJKCQPkXHvGVbv0aVYjGiyqSC6
UIKQU+qczSR7ptZ+9l1LLJ3IQB9tDl90pRi2wNK7+AGXGiiLmd99RCLhau7eaVFKe9ytkW7XnB2g
cEAa3TiqYNrkEp5p+9Rgbg5SCjyQ2gS2PDrwUxbM3SFTDf2TU/Vrw3QGCiuNa6vHPtjtbrGhMuzV
sluL3jgz109aYhA9M7Y29cQUc4rVFl2u1TLfNvzyCQXRJzvleulkEGdig4m/x0Gj/TFD8yOpsn3o
Mh1MYnkU9qUQur0MYsTEeUEhOjkRgrvMXwaYcsB/nJsueAT3+cNoxwrsUzKEayTvZL8gsMRqRBBA
dJsq20ZEUr8NTXoAK3k/WdVBKvFe2xpq1QDRmF7FT8JGMjoIIs97BLS1HlF3YspHK4sB3EfLMYNS
EKcwXpl2yh2JiHM+0o4wHtWPAD9dc2Nb46M58yBTzsCYTzizk2iWnP04M4Arl96CPWJskEngDu/T
cGDu8wTpXl8URV/P7BZtYff2JRqK84iVed4kmZRj7Rli6IsGY8DGRoZcVZEvf9SMjasPjAEc7cGu
7I2y2Y6xSBEwpvv4QMdnf/buwkQUWcbCpllHK27fVGx9Qm0ZN6GpHvQxXI+SrNIxyvNl0lARglpM
sXQBcaEwiThDINdQ40sgdeTSWX8sxhULoF0/DLWv6+YiqR1zOZr6XYK6fhHX3ioLmN1rINQXHjHJ
ju//EFjENDGr9pbZ79RoguA1jfvaAb0jDHIrAgvrXAY4kAeskwTECwIsMkYzBuPmuDQQRXoGROYI
Pe/SCJDwIO54TcnJbUJ51BAo1hWivzYXT2lenmOdAJUGFlJF/dzPmSKYh4kAzWfLX7paVO10oRXw
KuzvEUmSKKDmMrDCJ9Z2d17Zv3lt/5UUcjcx1HZN4x19p7MSFmi6ciIOcmiw9U09AwEOHmE/qMy7
6xiGkmBcnBWOJY0ZJeGqwVvqoD9B//QYQt62dQahbN1hdPuQ3LxwxVDpnDv2yTaYfGaRXBO8gFFD
924Euw4FWIKAGP0WDs+TqbQnHdTyJorHexxuagXa4K4AWadUGu7Zar36wb1Prx2RSUFuGnPkpZQp
BTYFpuvhS4Lxuxp754BsbKGabiu9GP0Qruf8qcYBetDTkFgAwjZEbK2H1GAnphC84Tco15pJSLR/
aCNMl0aLzy8iuCYgRdskZbmv9Vctzw9+0wEBHsZtNYSbSuWYXmoPVqeSXzEYsdGx9tQXeMIpMHpv
ASgOf0zd3+jZnkra2Wuz8gQ0NwoZRT52C18tJ48otILXsrbQ4Pnp9+jFr7GM1+OIIZlcE2uZBiai
q/GlshMwv+Y2B0OyKFUJPRtXi5sy2rO716xkwh4y7VyFYLT1wG3QwgSg1BqAPYG3427pLL5ys6dh
4OrtEKG1ET0lh3LlMvDbGYXYlYiEgoNdfYuQGJosFhdJeIOVOQmm1+EoMvMTEMSOUJ6OTRt65Fp+
Jf34BNCv2mhVEMBamy8iGgg4K+BU6vv2UoIjzXGrjkmE1lPWTL5IQdEqCFR1SGqBgueEyW4FcTtb
Jcl3FeYn3UPTxBaMiM7QEfBK2108VFCmqLNB95nfvYWpI38ymF1vEb69e6hZvGmgfxIU+8wS3xUz
oI1X5d9pjtW3Vz2JYvFlihCq1nyBUMv8Xp9umjjYebcDV1NOxQtO5Y/EDDemo/6AZLmEAT6vhDXK
IFWsUN4zyQjHsdFQctTs4sEy3qjGRlfG9M9jekVcw1abiBWLxXjKHYjkeVJ2mwQBo8uwGehn/8w5
ihrEEIhcettdN9G45XEkbHURmcjx3sj1Jzyo2iph+vcMTZ4E7zq8k/F3MLzUvvWCfubRKzqqTagr
DjoLuKNhskDUgSIJLaXHboGCl3MTzS60xBrqt/Wmuyb+D+t5KDqND7S5r/jwaApad1qejStpW68K
7ocR9Wo1odXiPxNEJywEj9Hk7oxZ92ZHcUspDNocwYjPHhaXLP6ujpxEWeF6VOYtqLI78cPCG0aI
+WqLcGp1l9vs1NzGRLfT10gI9NcYtOliNKuLk/ePAzoFEKrJbeqpE7FFBAMxkwVOJom2rE89Nu9h
tB4MIun9Dw/ncqtzYGbOsxe7DySJr/Dnn+Ng2mYSC0o+HtqGsyXCOu0Pu9bSXzvpfGoekhD+rj2m
qg1uXJoxKdd/b0pm+L3a12Apa/fcsgAEdlIsG2m8hfPm1dei09Sg1TCqU2a6E4279kvAQUcr8Jx3
hCLRIe0Z/lF465D6ipCjhSqmK+F5TzpuKocJcgV1q7TVnYi7CT4ASesNLN3cPiKyaJemhoklQmrv
M7HkjWnayi7SHwoAAsh0UxIaVX3FRbxLnezQ4C3WM+c79sEiMmMUKxtq9mZItuYoLplLAlpT53uh
BvwkuljXlfORGS1hXUxiAyeB9Yf/NpXWZxyWd03irHkLxy6+8aAhtFN/KjXoNxngPyCHN2Fv3YdS
w50R/plKjTRLtRpw7Dxq2TtxM6UzmUst0gnn7E20nfC7LGl8eR1BXUHyABEn2ldl9i3D+cOO8/fR
UC9ZiVWltHAat9AY/aS/jFl/rghxwULxQQnxoc8yZ4/IK0eM752I+oWvcyHXCkIo46myl5PpIW/u
rp3KYTuwZK6I/KLkT8wDqnW6CfE7hMxknqmeijw6ooK+L/yejHNde5ui/qTXwSEOyrPJEg4UZSur
CokBEZo9gsWkT16TvLGXf2pHfDlW/hkKyKmdWd3BS10gYWNxcXHHhJg/3Po4lf06xPbq0tHLCYY7
WnnxgBhyUXpoSErUL2OPhSk2wpc0RRXrdJBfIGUekwmIqC4Q02tVtIVH3y/1pZwGGPMz7nqKoORX
5Ydr1+9Ix29UEfrrhOOUM+QFt4O3hqwclNU56fxoa8J29PouWhPLtbTS6aKF5aHM1bStHfLVO0g/
XPK0tQND1+TsQkWpdo5CYT7rqQcfi938RwkruB88mjdgmtiVU9FxFJdnK3+GILOK8+q2ieVrrNC+
zofgNNbmAi43jgyXA4Ve/gW735aO+GvoyQud25uwDYFkh2bP6mSsnVQcc7t4kLH5VgwuEXYypqzt
xdYPpnUMtm5NgNkD6gWuwzpNGZrHgM7l8CDH4lXI9Ivd72PvEwbn4QexyilcQRB4dUCxivCN8qDb
xzElSkij/qT5JBOjoyL2wSFBrjB3jWbT1kuJjUzNGrL+qJ0qT2gX9povQ0Fvd4I/2wgSK1Ba9Ozp
EeJgqKEzbucZBNtzWQHhj3kCGFbaF/vexdipRzsJ/d0waRfBrnwfFRlNTD86qKRn06g1G2tsNVB8
iO7F6GzHtjAOWo6WuZ7qiEmEx0bNj/VtERrbcQzqvaP5yPHHwF/iACvutRHOYAKZY3v98e9tYbFL
OS8Z3xC8lWRogYXJtUo6bOOLapvH/ioqh1ffToiKtrqN6+GpqoNxX3lFhuPAe3fpIxsYqBee1Wk7
/p7NZFCodnZIp88olmxtnqe8abeKCr3puYaphgZkIh/EUH10EgRU4nL1mbR+bxsq2HrhH8+DST/m
jIZq+sZTW8MYxbGJ9DV/07pRYmGitHd74wc3MCcNFXYRhp9WaoPNcWmhQ1WyAyzysY4Eq3FZlvz6
gHNkbp6TTgXCyAu9L/jamF/sRTqyCIdduLem5KTbdKxkYL4E2aVDioBH+FzPL5fMExjLNWoEou/k
eD77NkQMyJg2/pslAZinSXfvC3EjUjAMKGseygiHO0amfSNsWpreDR7GReP5380AANaOIHk5+V06
jw4CjTDGaWiOth71uCAszoigHNedLg+dQvdYR/WwqEYkawjdOK2tfansHzJx2L3BT0EnXs8AWt0N
u4XhiZYjyyLzGzz8GoTUTZOq16FoKYeGFFujVfzpk6k9y0xuI9rbusNO2YqIfOKgZD5g4Q2M9ddk
9M5B9AcVVHrUm9mLwIZTkJLH8pg+FP1zaGFLUT57tDhCHlth/R5khUq4QpkRpOydPWR5MGS2aaIb
L1nAap1JIHUZLRZoUM7WSAhHpfviKvvCHvvR1YsXss6ARTcYDJQBgiIiybLwzW0yS+FSFJn8EyM2
7frOpnNIkwqdJm1PjL9E6pr8j02h1YdJcy+DQ5YGyiAeZR4tZmEb3Xc/JgyJRU+rMlQMV6AHY5Sb
GW9yYA+nWRCWytxfZi7hneGkHo28olC1apzFkH4WIOohX3xnaX3bBGW/y8fZXZTjGTHtvSxkh3SH
wVQ70XzyvOyjo8nH1abSMJvSMcureB+lai6gzTfHxf9KtxKKKs2lW71As9SbyNvm0VP4XtNhwbik
UbvKE8YBTIMYKqMcmh7FyF0I5gXIHM3OTteCrboobUbQFJ1YB6XTUPMz9nBVD0K3puOXTB1cbTBq
m8CKMhgczQrxHPC7Juvu6oIhUOsQYub01ZG+/Dly4Cp09G2GHDlyT1uTWkrsU4WFht3Ulpw7sANd
op8lY3ccpSxinunhsUnOcFNvAmFbW1vvCHYbq/1Up3MQIkx70wbJF3FxiCK7Pfb02zMfS0OaDc/E
yMHCkE9Mzfj/lxOwOTqyYdKmhxzwJmezW2B8dY+NpTalbjXLvi6Tk/SYn9YNTXthDdqx4SiGAQYs
UCL3ZAPxGgQleT5z/VlJ5zipvZOxkuZJ9Vy6k7XDc0Z0u12NB7udZ0INOO/OKPBteVlDXUv+a9XR
VrNjDgutt80j88ZCcqKxzXKd5yLHNuYZ5GH49rI0Z4ItfPulzSnaCn8+JW/ygZfIRk5hK2+cpW3b
Fiq6+oS/9kXCduZKI10oexkaGk77VTE8Ny5/ce3wkmaGwWyIXJY1RjKur16cAF7phOHbpyl5jKo7
nRYKRxSDbv4rJD21UB5BIqxDXtsgV9qqWUKNucrymPWsXR8leApv32bjvtC1QlubnV1uGRZbsUNs
BTLMOFa8Xv2hu7a8L8xwrdLxBRzDSShPQU2AzF9gvgS1w4gINPHNkEzcSftjFxqfgBN9CsslzsUn
IoAZKo3DwAwaABa0zV3xbcqcj2hMb9Xs1PVD/zmPlb/Dp6TWUS3EQqJBXZl1vevKI7l5tF5CXFOc
SJBZxNkeJcvNQDCxZ+LspKxwOOZsYXwPkfOhm3/UMH13ZX0XiHTtOPXt1Lr6oU0wlrfhB9o9Hm2b
LobuxxCy1GoQLJnknl9crVeXnhmzi38qjdW6jbW3oLF9pAqNvmS9Q1Jga946n/yvOLOZ6TD2WqKM
pdaYqEXmsB32tVuzYq0shjFbcdnep1Y4HlysOIuErY9ddhSzUTVsNKFtc5E8SC3XN41/a9oahaE+
PqsBQFWr0xUemiepmIi4Pb67qITn3hOi6Q75xLuPiI+Wb7nLiMz6Y6rk1me3zyaYq6JSw4ttsh3o
8Kst4kCjZt81lRPfRBWuhIogKzJKV32LnrdSb8Aj0HSH56zL1MLuvnufhr5IacGrSHuUNAUqMw+I
zyxdmh/WE3GNdFtzWazRgnxobN2b2BshhyX2voCwq9nE2/oOdBsI46SCBfSvDcWeD2oczX9R/uhW
/ykV1OjC7XcGa882KytYn/knjvKQx2Iu0Xx2xqbXEM1KGimUARy1wsm3sQXGc6pXmZbuCh22UBNa
t3UbpIcKXfIS0HfEh7wYRXDkOCIhvsZrA7y5vwisWVDLV/4AOivuPsaxuuEKm1IFWwtMJQlMVKKW
fbEZ06o94Syj6x+k4lafxHfaogWRcfpg6gSLxzWt17hyZrwyjRMMdN0NSRZJAQNYVv27BrrYTpGx
a/ZFEVz9OA3ll+fBB/VstkZNeyF1l/+KoU/bCKrdTTJ/cei+FVrgHa434VP5Ug6dB5GRZKm1/iPg
gmFXIBCHgE7EOZbGja8FkAUbNa5EzTocCuMx7ZKU40B/aUXcrwzTJPzJ2pEx6qzsKXiJkhioTENP
G2Ryv25CNjJFP1ELkVxe1ft6aB+VJ6atiQFprYApDSCzmR0znYMFQrQOXiXiZLEoSR/vr8EkjhKO
NdZFZc/OK6vWVtN2FyX8+7zkAy0n/KrCaC6kv5OPnICk5PEI4DXJeKPu05smHGny02bEUfjZdwZM
Uo+xfNoZz5Zbk/PRvouaAOl4wGBdgS5rvJuCiRgBqDZyYpTzodA2ihGrkWvtqgJalmLaCl2FNbw6
ZE03bIqiBh4WXoCSnSOXvQrbMnSwAl6sltGPMdBDB0JQ5Aw/LLnA2Dz/1rCau7rLaMO4kDhG5p82
16Uol+wE8GaSqJKGuMYTx1IrWRItoeXg32rD/+M5Cu+hfB4kSjO7odzwRhS27cj6bE3f9uDvGgs6
a/rHczlApyL/IskUeY0nqf00VP/lGB17Szw1GWIKycFlto9D1h6DBoUPPs01OvMnI4NrQHDjl62I
xfIsA7RcYFrL0PQIPwDmz/yFsDl3D5h+PIh0eDImLHyR0Ji2V3wAnv0NN2DbxRpBPxB9h9BPV32a
P0KIYG7q4eRHRo4GbyTblOmBY4dv8S0KFFYVEoGndWfKlaaaM+CxfIssYz+q8Ea0DIg9ehGZQYAE
PT2CtMfxpSidn2YazjZ4A6rUVRzGRwzJ5YKjE1h83m4yG59WNldnzFFu3DTG0p21GDaVtasduTcg
JnXF8KCNE554tECmcLgMJDu4FA7Fu/VjZhY4Y1gRWiWByE8ZFwM+N7NeFjWip8aPj5JZGj23D9OW
8oT+k9XeHzealMGqhaMc2EQpFckdQTrGMmKtr5ptaxt7VxEQlQFIXueGeM/dBGvdgF3J1H4ip/vI
7OxTQlTm6De3PdlS6Nb7JT6oDG5/C66WJmSaFmtNS5mgWfj5zAokiI2LjQ4DE1uHj1mhWUb4xAp7
IIryif//vffZ4JdcRfQLaNPS9G8DHd8h2yon+hna4b41vR9Cul/8sX1gCgGFNNUiPnTJ3Bl3WR2y
HbCNWb3DHFXDc+3a4I30OPAXXTHVbPl1ps5eaB1FbXwaYQ9mqUQnNk+zShkhfMl9YGGl2KvBParm
MFrj1uMMKlHvFSzcoau9Wl3ypzFxYsOyJl8AUHMf4p5vfkqvfQlERDe6rG5qm4Q8rpys6aSzBLvC
VucBoATe2Z7hybrzEyR1ui02EYVqLbx87fx/7J1Hc+RKm53/iuJbCxMwiQRyMRuWQVmyWDTN5gbR
Ft67BH79POAnzWgiRiFpr8VldN/Lvl0kUZmvOec5q82Fw+e3Z/9hoenv4kVdNZK0bWmJX6SLPWMW
jk8whE7aXb4M5dcaQBiFe3GRgAKzsimCfnbNHbI5Io8Z/AylDKxJR5euJ3446po7PrCd6Va8/TNx
amlKo74hlY+Aji3xLID1I4xk6Z8Y4hqmhf7orPD/EJyikExxKG9pwkgqMeYJC0Sszkw2Nror13uQ
iF7SFF/jur05g7PVQB14Gcl2wke79ZmWb1pmfhJg7kPDunyTzDD0PCe7pLJ5jmDdPti6ZmOlWWLo
ImVYlQcNwWS7qX7qF9OC2jzucU2AV8soyuruUJWgPgZmwkkJeafXJWl2yzWBX70J46bcmXV/ivz0
GEYmQnUURxYAxh38mm8JzWKu8buMHSVAH8GBo+gHAPE7YqFHzOaIFIp8T2O2f8i+eRJmfyhUPu96
i3o3J3yFeZBjbMqcSMFwuvWR87MW58jh1CQ70WMd9lehcaiEC7FyVH+8uf/B8Es0/jsblECXEbuS
7OzQlMZk0lH82k9eqp/iCUn1RE71YB3rKC/2FuMBWcibtjHDMZ5qg7oxT3BlQJu19rdOw7tpGJi6
BZiVfiRspZSPRFq9hE56F5wpe98bgqxdAlVbhLfCI/bTzUCM1IlskV2aMo3EApdikbAb7WyRUfI7
P6LYqdHFdPCMTRK+kwpU9Wjtvb6nKmHYqEqNBMDIL0K3v8N0/J117CpIDbKae94MA2+aGStM9YHu
/nei3T/DWO1CSOeOmdeBaWj2ZQQIWA1du4x/MpJlYY+BjOGZ8eRUy2vseu+ppw+m7RwxZTZbo7cv
yWSseFk0OgMXotvhtb38RUu9a0xSZNqu3YxK7N2GG9acfiJZv+XZT+GsgIPsyFD3GUuYzc+v+rYQ
/9iCPsDqZL2pqkWNpL7HA9J2Np0XA0wCaQ6AAqNCX9zCf8FrxYC78N/MdrwMYfX0hfL//6kH/4fU
A5txEjkB//vUg0eEfvF/2/xAoJqUP/7X+IP/8Uf/Z3az+y9sgqWHgNj1bFu6BBlMf7r+X//B9PJf
HHTBcJmZ0hFn4Pyn+AO2z5bj461zbP7Yf8QfOM6/8KlYw2zCwExLuc7/S3qzQ735j/8UfyCUBWza
UZ4rbdIWHM/hv//6cU/KqPvXf1j/3eMJx77bpYeEkVYgdf3m+nMYmClUm9oenlPHAxmbTqeSsJHA
7CNri0fQubM5o5pk93VyUTZnUynvTH8UHmfkRQmGo8s0k2lHaeveqMH8qB5vcmBeil3yhakq51Uy
FRf8B/U3p70qAEVZYi6f4UDRWqqpeUR3VZ8z8g1IRmGhDYHNe27UojaQWooXD/BrFqHjQxTu3H0b
6UBvWzbikESdqTyHvdUQNG3HACtqDm5meJ3+BUvtGvuWwSuX+VmUMj8sOiyCEVjqh9kCoCFt5Hvi
10Qm9C5nWd4HaSGrb1+M8Sb2xqOTVyddRMObnlmZx8ZcX4d+6d8YniHSIg1vW/vg+qVp4cOK8i0C
vSAvluLc6epxXgAkxuI4+s0PNrYl+GbimhpNAmfi+tw5Sxy0g0Gi2w7nmvXoEIaCsoeJFmDWBpvm
RRWX0c/mcxfa25Bv1ruJqy6vCUFI1YJeqnB2hktEl5TijzH5kAT467AmdVuCgQlvyhF+sQkiojg+
lMt0p+tUO89+mTxwLZEomO9Y3d4QdIVoe1PYJe/mOX022cncokF/hFMx7Qudj7u5SKG8wvE8qCCb
Ivzg4N7JuyKiV4/WTejxXoL8eCwG5pGyQOSg+BJsyWCfyQ56tx3TdeC0LWFngDvsU+clYMVEm75D
T9sKZLI3w2+ZHrHBO6CJ4H0EUzAtxMGbJReSChklVs5rlxHMu/M6aG5x9+TbuMY9KMhHVY/cF2D6
gtru9Z76Ausc5C1hzjghlNkec90YmyjFHVEWKKIpDYdDn0G1M2o3PluT8bfqzJ+1Yc6HOWqcZ3MF
FIcOwZCluriDqo+a/+kmD9F1IgeOTo49sHhMmnw7OmRVGmGqgl4i5UpH5dywIvsPaiw6pAP5Z+uY
2aVeP3hLfw6zMTnE+HjOZpbz3McbU3XOCXFsdfLUfck9++oTpnF1HHeFjTF5SUT6kkF8T3iyTn4I
F2lK55OP7eyWUAXIxpfP2uG+s2LCoGQH1KAt4DPzMvIddlEiipoOMDBBqTds7OjaDI+U1NHkxw9u
2gD9uY0X9lR9Nb+XFNrbkW85eMKlCVJARpBASazidg3sAtC4M0u4cQxBrTodHl4nXQ5n3cY/nbDP
j22DcMhFsVD6KdWs2cJzJnlj8dr2MC93IknPDQXnzTOLEs3d+uXPNNnIE9qDNggq74UP1mV9WOuw
T6iHUfh2Vp3t5jHzz8mUfTNj0d6g3bzIKDsloeNc7WhVrYfVOYd823Xgz8YVWl9UVuC1FMslJ/CV
9843t48STi7y/Kx8eV40wg3Tw/3XJkRBhVQcjgFuNy5BdgBmlgFqUcjraewRYTUuq24TJlWe8UYT
tkbmAGATjJT96CRJc02dmLTr8lMIlGUVSfMnBtedfjNUvsPIAUfYTi08Fy1OwyHdGabTn2I/gemj
lveSvIMnT1TMOStz0016PJmLQlLTJyT9og1L3eK7hbEGxXO4b3yjAgvrIB/w9kPj1NeIZLxHqbS+
1wlLodzDKuPNTHjJqiRFzrcQ15XrZIw9yFPvtfazyMwnu+nLJ3/ynpclM9Car1m4kRwfG8Aqhd94
P6cxXtfTx6hO38G5rUkpzHfYu41pepy70GWQmyXAP7wO+w/RV3mbJJCoUPgkNqOjtDZ+IlCcXtLQ
fqpyF6eoM1ylKdUmzdtqxz1U0T6QNjkP38yZk9/6Y3qxjf4IamNsJuZjp9yVYY1qM9LjsM5x7E00
tCUZbCI8tR104cb7QT6demcGGD6K1jq1GXYk1HTTYUgZy00pZZQsDHs/m66iT0yZp5v6tsR+9Zm6
k3jyHONtNp1zQdwtwKQdua7gByzP38JsGPdmP/xNEzXsDdNGc9RV8cUtKfMMc6EnzsR8bvwMspv1
EiVMyP0whi2RZ6/t/KumTx9i239DM/DB4vNc1166XWDLnTIbs4kdA82xXb61ReFx0y5N+2jHxSmi
CciWaf5czPJzlnzmWBTxfmgbdYwwdG+iaO7w/PfJQfHEo25W7bMyjo5wfkdVrN5ZaLnIG6Jb4uc1
gBM/fknnjIH9nNy1mTVB2fJPmRrXAoBVQXb0FivWeBadHR+SpvwIYzYUUE8rUgDicTP6SxHohZkJ
CGoWlS1hlzK2D93iVq8DimPMNYUOpFWpJ98ZD6aFKdprCRB1R9e8qKZmrYhtKvAXOe08vUYplOa0
BUaMs2Euo8fJgO6XVfLTtoBqjNJ+m6xKk15o3ZakoIET0r2TzyeiadpL/PEnRAvsalzbDbipScfN
DbWdGvuvPc8/iiGzAIefzbFUUNmmO4XRDxwZTGWBH+EO694i3EhrrT50l4X1U50BwUG2f6qM6aPu
ToblqK1sGHfCc8mutrDO/7xIyBk4xr7PrZh6IIAa3HJtx504DJjX86K3tlkLVyAWXXFTOVroxf5h
N6b7nE2mRYgRqhvmJ8k+bbipY0GKuOhKJlX9YD60Vly9widA3eZzrQ92S/xbNbeHnOzUc2s76ZEQ
PuthyOaTGUKn4u1O4z79IqIEj2B4brDsBr1FSBQZFtY9y6Ot14/q7DTIg6dWwVGc2pNHbgiCwHvf
P2pAC2dhJad2xlBYZz0o7so4jzqEZB2zinG7unuGF4WULwwvsA/YrZPjF3RtJy9jGZ9kA6AnrVH9
eXkOjbOhKoBkvhkm9l482XXE/CQyh5e+M9zXFs9T3kuwIVZj7v0+Cgyv6i9F+pk7Znn0+/l3y5Bg
VypAYPRHIOH99KqXBDJR14LndrOoDNisDQ+jj46BnzMS7aj4RKzl721z2dRT5K+oSfMxyXn2q7ot
D/GM24KfNJKA6LuvIpIUmmrodk5vRMdpSbEg+Wo7Vv7wNMqB4jGdLuTeERM6kRXYsdbbCr8h/X20
44t0qz9EhSMyJJtaYpaA5irKYzf5TB8M49tUxWyamxeYd9VLGnyVEZlZSWxO97QosRw1TQZReCg/
xmY3aI42Y7lZbvbLY9J5FHaHSa32rj51IZEJNYTGBRekp76X7t2IxfQEyvOHK2KYB8sBTyWBLVba
PVu2ZD/ce2cIg/uG5udiYrQQeXnOx/mvQyLkpQ8jRGXRwqXgJQ4USvY8aQlXgtnCdkhCgAMW09q+
TfsbIfJaiynaRelwo2YtkGJo/PgeiBEhIuwyDkI9cD/zAyxma5978r2wuw4O3WIeigpQou0BJdKj
2Z8zRC2jUzEByKvoMPvzm+iGJHDs8NUz2uTQN0Bj3XR6iqndkKgu+CmHcLP0vOd7XpG0DYbuJzv0
2w+PEF3KoHpMm6dagIqOpmdFqPwxq0/WkFYHE57PFm21eXLJ7VorbGChRKzgudoiyGKPJ0d9L0QN
S5BEgMGtj0THcHfWyz3Dk4BbbL5WTCV0pPWtikpGiYl17DRLR0MrwL5gExyDIrydqm43dpkJDrL8
Xa5L1dBwcB6Uc44wkc1M3HvisfdHolq1XAK6LsIZDRIEmtjw9p3PLDRdb5QuG78V0DWPX8UQr/cB
risZUX390iVDvXYB9tMS1es8WOFhn1C+sNoKWrt+8TRizcRK0n0T589ZIdIr//2US9+CGlzlGyOz
iw20p3aHz9F5KHEobL6Kssmb9CWNCY8huAr9Y5+qszkVn2nVFw+tUeaXZkgbsJ64ZDzAzheXkE3Y
yhIl6kxGnGzmHYtH5zBosibkmO3SJuKv0rn70jo+HNcKMTcC+HrnojrEm1RNd0fN1mMLTfDrPyaj
H/OyUJEW9RyUobHTyi3ukTJ473Icx9IEoY54gshKDDLMeaCNuCWYG7vJqSrV0WBQCIGImtogX8NP
iuqgC57KxhAJqyz74PX+tVQthgDlkidMIgom1HJXDZ+wFHns6AMeJLNL8qz/en7NJlhxpzJp+yVs
kzekU48PXl3zViFxFv8QksCoc1juLW0SKEWoL9c91g2jOBHmcbSjGedt19uPVW0xlcLCDFzbIG2e
G7NhzJl+pJkf7bBfAIlajwF+dDugXqlslqdusd1tv/jtsWcsuMRRSgc1TQfZWgJhevSoprJ8ZVz1
oVoq4GpUh4iCcWtrzvpw1vFZaE0eEsZDEln8IIeyR3PFTadpWBiAeYdiSF6XLgOKlLXQnT3YqAQI
4h57qSUzSSiFnKIZpiuvlQAbJYxY9gxjkLOjVmljPRLlhDOrAzWu1sdylY5aEyxzUqmv9YzPifxj
Hj9WhMDUEjwMM2avcdmMYq7OaRViDevQ0E0LW35MhB+DgkM6KplsM9Qq+9GXV6BI5Qm1BG+UcMXa
yzQ6CZ2dS1s0R6txf1t+O+50iC6gwqCHwi03DjoKJ+7VztnOIyqPCDns2nAnPpFAYV+8zHPGd3y0
/lbUL6zcY+IwovHX7GIaQtRAvIrwLz3N5ybuBF9c0fiHQSbqYk681ZKC7N5pNmDPNh57sQwkVJaN
/raKi3VFQbp13PqHju3rQVgq3iaeSYh0zc4ts+Q1s5LqagjIUR7VCnI0cw/ch0Thzv2VAGcNzaba
2VNEuH3YtwcZKKuLgjjjuu85t0nGaH5Id/7VLceevpP9tVakI65U47JU1yZcnaFZdyD1GiQppiks
QFryM8SKSK4FbXnPIVx3OQ78JbyyWPukc+UTwDieFp/dhjfKY227/a2tbmUyBdzi5PRwHwWCUc62
qfm+MLQKmLA7C17YZRq9TS95L7ouDm6zzTBSEHm8Tbrljw8oeasbnVKK04Sls3/JbcN6lZF0+Iks
eZB4aKPxVz9we5S4Ctqj49r9E+Q5KFoo2wPpZ1sF6OTYlo+6ssXFnrz8SMIVICcPMBQleocZdV66
naW4/Fi2Jgj00iSACrhS2lfVjFtaj2aPt1lp7FRx+B5bXYDwFshYqoat5VDtVDjDMXRdFhKqkqzO
HukI+mBQpF7UeWTu/AR4ZT/77UY6QDit9QrUrW1ekPK8ybbXl9rinpszPBvtbS76+VzgP1jSsHvF
rVN00K68WLlX+o4g7Uv/1mvAiTloolS9Z8A20LH4xGpHITP9vuBQja18q9Ks+YYpurZCrHhDglA0
dIHfdjiQktYeDx5tZlHG09FY/Ger6Kxb5X+yVqBhnapbbTHC73oF8qxwtwbXwdFynE07iLNAK3yY
SwxkhS31PqsZUnmCbDQLCfbM1o92+EqG+kfeG907gXoMDMqfPfGfLyJPPpi5F2fWo59fNxY5eA9h
hxODbOoVBG68jQxiFku2L/FKj3da50pkByoJdD4Bh5x95FihZH92oj5/jx0n3hIENTlQfKt2Zn8d
FQHpJfbTZIqJFXoYBaD6y34/mXHDmrQ7QOu2Xhf2vDQiwCoMHmru6kf8CwqPsGPSNYsEQ+LUB6AC
mmPCMk1T70WTNR+mEAEm+kCfZYvNrMmK/srFm295Lg+EvnV3TQloz/fCHervKTsov0+ZHTkZShud
M5sS1dkt07+paM0r2QA7t4ibB8GI95haOPmBDDPE6Mz4EfKiGnzW/YDCoZV3hEIV8USefLJk5wT0
64Ys5n4Ph8xDtVphAfSHFwI0eP1thvmxaA+u7ZTBGMNrTbO02gqE+Nd8wiVa51CuoxnBqNJC/IRB
/NCIY+2iyLKgA5PiiYyck/xJFDo+5GlIiQ9yGYiCuprVb1/3gdbNvGm73t/GJgsIg++Wz3xmdZkh
ION2u6GCvZsLEU/OQDdDZTPdmk9fEFE0OVicWlI54H1UF6R17j2OY7hU5rd47J3PyPgIQ2M4J457
UpYMj9L2ojOClxNfzPQkO3FkkEsKduqbB8RiDUJhdtkGm1uWbeazkWJyrxMPuZA1HtF7Ms0Fo/1S
Dk2gFkIfOrfWuzHkma3WYa0zdXc3aRlm+iTMp2Xs7ZbUJv1EAI7yzPK9y561nBdGKfKX7cSkCBke
kUGiYho5vSYofJ/EdIyYoV8U97JtTeHBhbm2AcNFa6NggiySDRCexXRX+H7IvHFgikWy16ZK8+Gk
kTptogl9P9wj4K0GtTU8n2hP9Lm/qRHoPtg9hBG3xsz/NbEYF1wiBVLgwEgqdNb53KMjMIp9Q5zT
vk4q5Lq81TGSbRkCxTeccffKoRvPpXgc9DC+z4pKmfv5cSI1aXQr9ZKllnqpBRMCZCyEjt4m/HYg
gJEwMnJOoSfIo0Ek+4bE2uYlZt9tUNxdpyj7hoGtI6fDIn2ROcMz85FNpauM1G1dHDW1HmN9hF3V
7BzKbNoaLAhO8FBYgzssLhM2wP5ko++OmBcOcjeAOvwmvRrVcvveuL/AiCFWhXexRZX0V2Zsuax1
/OFHVM6xVkdPZlBT6uZRyonCFqfWc6qrF7n0XkD1pY/5LB4pdaIjO9UYRA0MgHhERRTmIDOgyjFx
bWxgtAYWv2GwTm5UEYiEvOwhHNP2gN4fSU5JfcRdkQLFX11GP8c6kZupBpA6ztZNF6v0ySh/+AZ2
wiWLgsQmByFkNdEaHMl27penXnvAj1vQpmA+j1IyVIi8KUgj79EziQsb240eTEI+UsbGWX43FuLc
M6VPYPL1yfytE0aDRTYfwNBC7UrcF5MRyr4Pw0+jIWNHEA2BLge4HqUYVlkmrgafZKwgF+DPh7nw
TUwkEwTP0QT/4hN1IeAxeZ1oNv5gtJuOUC5wu81O9lxfXofgQzG9ekhSReUvh6choqrWAOLdFLm5
I5KddoAtD1E0nfRqq+Hbxuy2zR68Nr7RVmzbxjUCpxCPZgSa2UzlYzfILJiW5llAzTvT2OG7BDaE
tpTXmY1y4et16bHzHiWEw/dfVW/eUF1TARJMN3KbjziAKKk5XLGDbazErbaRCUTtV8+hveY6NRD7
lykoZjx6DSDurw8R5XpWeeZxJrIOD1vWkaW3G+s+3Ltj9q1q8991BQ8z7XAPdFCvyoTW0XHzv14F
JBszPgEdwscq2kLDins8+dnsBZNufmmXy5rFETSLS9qq70v4QV5acSJwShwqglVcw+tO3vohytBM
YIdkqwwZ6WQaKK4YgYFMWR+Rrw+MfHuW1QvvFTWPJ+FWWRAOIz6lFIGHtqddFSPSiwkxjezsxaMO
2lDu4cOe172EAPBk+uBwiommAU9ibVn8pMvsTgAjUYWYgLcd4nA5yBPTQWLjeN5PiHovs6+dgFLX
0REP77zLaLKA1BCGhooUK2CpfkZN/hsUYdDXHqmZ+R+AlHuIXQgcFhYZ3JKSZ+U4G3F3Aq9CFEZM
qil0z5Mt2uphHudPN2ZIWSvcaGMedNq4ddq3jnM9kZdlWwxuCuNEKMUANxYeZTPzg2jKN9NZxBbl
NUlYXxg7fePJ5QqssGStODcp0mIvupBk8CEm3wCRHPMJHp4oeh/FaL9VCxiUOPMOLofA0cPiuY9q
aAlLPb+p3HGQezAcWLqqPWM94e96vFjIPR7ROmbf/arfpgbVh+t1xqm23FeCtO29aXgOaKH53Z60
3JlJb2C3cZEb49rJjIkze4jExyztmO4R+msIdyRjys3ECr1HzfqEXkb6GxErwtIKUJCWS1IA5nvn
oWFOnwzNaVo/zF3d7mk17/98Lm3dc4I6CgmjfBPJeAXF+Vqo327/jo0MTwl0sAWVsKcsKEQtjtey
lE9+gR2cxOO/oK22QgFtkVBK8TxDZ7AFqIr19XddD4soC3v2OsI5kCOO84o/HNsQHUTHzxhCr7de
xqhuK4oiHsr8QTBD3MuBvv0XZYqCZqy6ztomhrhMxPQwcUS1njcnwLY/fLv+NGFS8JrW/FckTy+6
uy2R/mQdzVHg1TQ40/hhkOXc/fJjUF1gyI3wQh5j9DAOa1Ntv7Vm9yI8eTImxjLzeK99cB623sL8
pCViFiSHYWtaKHoR0b9lEKRDw38jK2I8ebG1m4i+PLgK+KEO6+kwQZEu9GPUNM6R7cZwAmLMtxiA
yxokx0ZooOJdmJA1xHOWTLRZMm9kn2CVukwoT3eNBbzBnatnyDcWQGbwpFvXLshq6UAUFehTySpl
dhdnTN+jO5I3phGlNRAmkgH6frAB74xz8hKt1v6aVetGce0AjF+2sTOyOl6UuY40zJPnAkKYZUGQ
nf6NcZA36qGOewKoW0YGRslXj2uavDQilRdxiMnNCCIaIsza0wF90oawR3Gw1rMnj7ijIFadhqbW
TNFszLaGs4lsGDapKolp496um4Y2yVG/ixghkh3hSnoo7Ikmn9EX84GNIVOaSqWuifQ+KIgjEkma
J58D4zTUPqZZ7VqHqI3IkrCc7pSH83c2E7QYKXBVF1vG1grN9MwOJdp1lYkTqZjESaGZxYNmXtbM
XoIjIN6Ggxmg1DstbhwCaqWs1h7qV6n1t8JS497x5/d6/WMQebnwCIN66IxnKoSBCXP4ZHL+fF13
Xx/q9WwXSVpixPFvqNTOpO/x9YUVqZeibk6dk780Lun1ESn0DNViazuuBrNqbOhVbPrCfCSwgng9
Xi1ODo0oCrODUxZPqBZQNIYUfdUQPZo46EIVnWqElXW/ZIHMeKNn1fzDh1wWkaC49GVL07ze0usr
//rVlP9AEYt+tNM2xh3jgwUmUVdl8a6fQYsTmpxjO+6aNYb5XFPOMJ5FXm6XXZA3AHpXs1Ph3bmv
0BH3zV1VKUHyebScXHNgCWDhkV8K76q0hdsmHb/ZXkE6k0TciVZ+Y+SUv4VtCzpk56daqxN3B/DA
2jglSzVfqK1BeQpC2fJPoTeWx3Yid9m2iNeypnfX5c7gOMeDEGbM4xUhni3mQLTGDXnyWOKRuJIO
kKuQqyvHVxYbo1oR3X8b4R6FyxxTL07wdW8zwBqORvfDMY1XkaA3W58U3wkJ0JaHxhL3Dh1OgIU8
RBaHV0NyBmy8cX4aOixOYbrXpmQ5WctAOM37PKYRj3f7mGHSIPzLxdyFY8Rpxd1p0SGnWIUpdvWF
nyTyQTW9RuP0RGX7TLfmE3jTYhlXSGIJSfzrWhwQ9Mokm8Gr9ICt+LyTmqFGRjbO10kQrvYtMwf7
uHQzwbsT4k4ZjeVOmH+6qaF6qogs46QLg2RkmDcRJtfSAuK+IdOdiShyR1qWzif+GDSAymt9mgZN
TFrDKbgO5hyvivbZa5PiXSzj+JlzAo4i4B6MJ+fcZ7JdW5yMVtQdhxauRpehJu89QomiqrhVBV4m
Q8Lac5owwICTHyIr8TZM7AT2ZWM/FK55NH2CXCOAXUbhf09yUgJNiyLGQ3bMSuTcJj7TBBQ3A8R6
NKkwbtp93g4/QCf9NPkRoygHSeFaBJ6i3yCFamw+S3zrBDPkDt4fs8YcbqY/iaofL7jpUAv4+A7x
ia2KEYjcJZ01usUYAeu9sqcjHQ9QLWxxygQjDIt6x/1YbhVBk1wGHvEUi/OuJjEfrOG3CUOgs2x8
hHDGc9AtpbLcW5ryzeuxEgVW4aUPUUP2CgvbQzcTMkk+yWly/4RVaLBpi44uveSmlUARVfW3hWTw
oQBK111xtLs4+1RBAxRt5b/lh0mUYr847h9VQ4JICaF5APbF9D48JzGhA7AyfLTuJJuDwdzxBUSQ
5BiQiZW47hMvwAI0QywNxoxUUf0QCvnOQ7ARCwOhuKtt+iOEAdjg3XUzH6oC7WUeHez+bo5Id4wW
JDgoti7BmblOncEDOhSs6zrll1Twg0x+M+H7WpJoDvLe58ANB0aNJjwBA5sjz/1R4ZBlQ2SFfDun
iEnTS9um0REJ1rxBydA9Dul4i7xuDzsCH4b1m/G9S8CMV9BKXfvFwoWMjh1eGOO6oWPonudPFg22
W0iJDzQKOKDSg1+BgqCV/iiGY51D/4cAyKWn0yBRCk2SWdVBCJknZDDEaUWVQqBxTt4cth4CGcad
t+Bt0YBbBChyo22x4QhUW45ANmaLalu1Ybl1fawMveshSHe8P+N12emE+V9bhNj8BIrnSqYsy5et
3pks0PZhKj7t9tVBuHocJjQKiU4h9XuIRw3UH3iVAK9ZDLnwu67uuWfEFf7ey/KWhTIShsI/ZMLg
OsqIKcFXp9wFwW6laeMHlo79PLFvxPSXleKssfphQKhOpGGkHoZ2aVYfnsYKKcmF4hT0yBCmZEeI
nrHGZWbBoWGsACxyR39CkocKsr4wtyZHuyHrxi5DcUg6WEVJbP/2mQc35tkghnAXxdlrXjfWea5c
rDjkTHtjhq7ZoEjmmvOQzCAHAz0l402atgOJPs2dLo9L2oQrVYNOsQSgv2SYj+A9MEZ1mL6N6SGG
C78hMf0ZBAUSaAJqvdZ9WXpCzRnzb+saNfOT9B2cRg5rI+aOm5ygaLNFq4sSF2+QvZOzmR36gajr
MLf3aTixPYQQkgun2+uM711kTXejjRQhP/gvMvfEYjRHvVsHqTCsILTKo6vNeoPOMttGng0+trN+
sfp1ALV7zrZLCwYxtr4BFyu2+k6H057chMSX0E72RGZ9NgkoT+Kce4Ze+kNW10hhZPVq8TMHS7L1
J8+EJsf7vMCXhfgHH3OPvy/NUZSnFoaxttj5/JE9xLJ7W5JFVCUaGdL6f5mkKfYNASsNmnSoGrnH
KAj7mVE/y6K8YdhSJ/Y3JO+G89/KjPXBKeXV8RVMzYF1BL3q1rFjLt4MapIdxU/ZBNIH1OthQJ5X
5OMFigYmIDFiPuVprZt62ppGxaKZvcU2Wrh/GaSAc8AZZkTfW/u57MvlbRWv80SJidJ6sm1rn6QI
7TuPu8gtYIvN3mQCVIFfGbIdYCeud8ViEyMkP8p8HjY+9uu9qV+iIqW5xxGFsh7DOp5ZngZC6OIk
t/EIorSbCCUwzfR1kNY3n/VRIXrmK8hEfTLXeM+95egQ90g0aNN5PhCROd2zE2MJYU21Jj9bUGgk
xBrbOvsy/EZ0Wbgdem+fRjo5S9GessIlwYUpPgR8hDHD6mug/l9ADS4WGyO4ZxXnAxxUdFm3ps6f
Qk93e8visfFFGyLua4x9UySnop3ix7aev6ePehC/nJy361yXbzXO9wdzVJ+JUPY+Vs0DkcYzMjjs
5xyb53yhtSjHnvcEarARNTaI7MhJd3Vz7lnFJzb3smIVRj2fvIeuTCk87IiQN+acpkvwEg7hvaep
oTn7iHRK1gq9MYcRspgkMdXrj+ZauXtrdf314Z+/9Wic5Czk1k3q6mTMDRFBpD5PRQFL11kHC18f
rH//1f/tvyuYYjz0NJ6LysU29hnchhW80TE1iTbU9Jkz+YJ7v/VfMK1ssiqcURv1QdhmRHCl/UTW
Ir+K//1XX7/9r/7d16f8x5/4rz5FCE2zAOOPAFMr46RBF592bfwUK7KhIMqRsYWXeDPP4bI1OsYz
8QLPMW7fQPL8joaofUrSBKSHzHDdNP4Zux7TEWlCc0aOvJF8loDk9NA7yQO1Ehqi+uTbIwPBmbXr
AAYjn8b0wpMXcMTaez1Tkwwq1v/G3nlsN85kXfZVevUctYAAAmbQE9GTkkh5M8FKo4T3JgA8fW9A
VaWsrPq/Wj3vCRMkU5QIE4i495x9zmrGh4SZtcbRrMOywnHQUOZA7c+9qYtOMM5AEaI7Rsey6qY9
xTb//Z3kMu/GSn8xZg6rQmeYw2AgN3bV7qRFHrYAjhPDqRz9hhh3RRXJiBkl8Qwp1oQU34nM88Ub
9jwJgm6dD+Z7KfzLGPgOwAZqVDSxtU59F6VtnPwIhHtLE9R2qAuNamT3nGsvNqkZgo7qic24EraL
r4wZpe1rz132S2+87EEZb60xflBcDdcTabNBBdk6wWdkNm0JH5Kwnm5AVzPVAvSsu0vKztr6ipW9
Goqf0xjfMHfhNqg3z+ihqUtPDAWjm94yXdi4rIgAqDjJJjK6+wy3dq/doyIy13ypJ1XbO1bpgF8N
vSbfMvrRUKAAhxAN28Hrs72o3cdcC2G9KUUSHNTxFevlszllb26nHgZ4Ylfge5jxYIVB00PejBUE
JzfszF00TfJompU89p0r4WO5j6kG17ibV3RDRhgS5aJhDVvD3Q51fZt2nXasPMAypM0qGsM/K8mF
21Z8YNGY2rGAPXQY7wIqsJUDLr0YzoJeNd7NTVfj4hXROspIqRoLrO/hkN1NY/eA1auhvS76dd2T
kKYZg3OETEluzEjCeSNz6xDTbkkiyqnKI02EUZC/jlp6lo07DzK453ni4IZeeho9WOiA/fc4/Mcj
YASIBT2mswBn3cYDvAkHKhMny5leWCheTS0gosBT4b704cOUUFAmDM7L9zfqs2k7lFAG/ZZuOZXM
0Wblnb04SXKRg3mJFbq38Nny56x0vSR3gfYiOnx538XMdwTlp+WDPHltws+hUEPJObSxulEz6MPa
3qPbILlzohbrOUaAms/1j60mdtngqX0V9v0ectXOlPpI04pgkaw4JRjjzfQ2znEUZx2/t6emT8ZJ
4NgrTfpHp9I4cZgPo3Fl9Z9AePH7tzpkLUjwFupUBcGkZPqWEqcXRzeuNF7aQYLV8fxvTWlcQ6zY
tanzNuXp61D3aBqHYo9d7s30Q6zFRtw9wJG90idsbV2YsaqhZYZZB8lzSlJs578a8CG2jjnjX6Px
LSlBO5YJ9ag+1pKNH5NO7+qh/lDI6kPPHIAPSXzfIWS40it7pqjuFATG+xw3GwbJ9NlxHe9GS5mv
s3wAXUGszSjdGIttvNc1P4TPZoU3cQt0dsgjHSQ/VRdlXReDp+27qKbjWHuztUyi8Q4J5jFYznyz
RUqC4PQtR180Vs79QCknoONYIurYNmN4l86rKEWcF5UpdAsunQf6jiSzAvZaSMxAKJxVM3cdwG98
J0FpBuxCmjMIRj2K+fRryepdew27PcinZkV7+UQUAfP7hOqWzox05TPP2Pl5cxsG9hyVGL/EZQno
RMWQVeZK/uQAAOK+HUyMfmCGpGHjPA7QAXc2XYdx2KSYV1bTiM9dxTJg+OcuG/bqrfei4Wh2g/p8
8MqJir+gblBGgH6Mvt8ZdCJcE1FQWh3ydCJNrRU6bYTyrjfkoZ0bGstDR+gNNZOZKu76z0My2Ff4
DvDPy6jbmP3wM9MLZ8aqPAd42k5MmYpkvoMk7doSwWOeMVHEOQHemIL10e50yk7zw1T0c/QhncVu
zpwxRPQ8lfzfrOm5q9miO4l8XvTUPwGn5hRX+RkUACys5jHNBqYAcbZdqch6tnCSRpwae68y6Xli
+HXRN72VJR28EqEZGY8v9dzBLlxYfMCIfyKXCg+9W+rnvkH97nQWxcBIe0avmE1+dEFk3K6GGXSs
O4m1VY3dcNcc6APoECZKF0Il5bjwNGm/Rur1rCQs8BuRffZaWtr5ZNQfbrkBfSR7XLQKLpgwX1VH
o1jXEWNJ5UbnxKquqZ+nOxQZOfOy7ibjr4feUtz7jvw+NOZDYIXTm1YUJ89Rw0dmRjfeRckpfKsz
etqTBvUMOQDqZDdu1nTtnkU4zoxVte1jKvgjloGFP++JMnoVnfdGsFn9c2xenJAMglwnMMOyWS0p
7Pe5+ct3EKPGRaDBq3UJ3esFa8McwZaJF2VNMm5Izdv/SCYLHXU7rcIRGWAAZ+hmdJCI1sbkPTiz
BBxvnvtuqENbNpdWl/dE+3VrWQfJoXFdmObVEzUqGlfp7BbIpi3KuG8yvsD9CB/z2qCMDrkzoqnP
lcHI5lTxN5HWwUmSxXbdthCfmGWXBxkgKpnJzQUaudLXG/TFjc5ytrpXyEZhLfU/3Bb3rku/97EM
y2PMzBaP7L09du21T+x4NRr5MY7IbOtDhF1jVQY4YAxMURxHm0iDAzkJ170YPzwzvSa1egcXy/ol
qvDg1ki+Wbzb20ixo7zOlOfONYwDQyFkZxQWD3i+WOfiafqQwR5ze0mMBs0nJ5i6UxBKHDOdcakl
Uu2hpq3o2Pa16IodAO/qBubrdOnsLtwlAo4Swcb5jWvrdy1yaeTLTX4TVAndVeKAN32tu4zpnUH8
1hRtSVRwjs7cplgeMtaEx+RFhW15kydxSSJlZG/ckurq51MK+bumJezPZK4yWpO6uG34Go54vDKX
Dk9XivvY9aH7eT16qgr+e6pVs00Ezicm4JWvSYfxbkg2BA7XqwTS86F1mleHUOfrQM77vKRyYyWG
dV0l2pPshLehDpBv2vCX4djzLXJ8ph3Us0YFcgIWt0MAT8SnT7uJKWsJmiNB5JpOxyYkXa5HD2CS
EheFY3JxH5SdICGSeQ62vUMg4Q0pzDBj0yjkmJg3mBILi1pSiWmmYDDea5AqNq4Pwuk3n+OFslpQ
5P8L896liPIWC6DU/90wKPEzCmyDwsE8iG3xd8NgF/qkn7ZRvLdFg4lnasRN3+rHSLTeHbtr21Gb
OiYWOSVX1G02tjU23MXp/E85phSmUojZ0zGCCO/Gz33jMsHNUnGMkkjbI1/JyIOw5zDY0vy7FcpM
Q7EihDVdB7iriYSOjyNT+BlvZT+2qdfg/ehIG4YJc4Knq1NIILGaelIInsB/S3NT3TReFR9EZ55L
HwDF14Ob5c0+DbrHwKjoa1nMk3oUcATDwIucuqbclLpx3zlAR/56N1ry33ejaxr0uyzHNdmV1r/u
RhViiJhEG+xb5fwsCTJ/62CFwd6O3StMNzYVjj56nV5L6HHYpFKs68ZgkqQHxLtIyRjsrNS8p//a
nB2LOBMEBFvbyrC/UOx+4MLFjNM5j/oIBCfx6iv0JcFlSGJ7zb5vNoVt/0iNujkiDg7vBDZEJBfh
e0q0xw6ET/ZsRETEWgUBFgzRcwxz4986Rndwh7E6IQm9tAKfntVUh5a+M/OzxgDMRv/8r/eTie22
/DwLDz85++Yd5JkuU0C4JrblOLN/9Td/am7iag7RBew7khIHzPYb2292pSr4urEYmUrKmMjlqiVM
HSlr2G9jzoGdMrvoQHn41s89/Rpa9MYZ03q/GNhi2VZ7GczJofQbVz9lmQVnd1MN0/iUDdHtoGfw
4xO0jARwvGlx3D9oyjqh4fnr78bv/Y9fzuYL2siFDWt+//cvR+YrPMkJ2budpgfkpZRPt6ow4fiX
DRbIoKi4lDgQdK+srVk1RFVAlf5OoAT3roJJcJ2WeyuWKZkGNFvpn0KuHDv9CV4oGYJ1Rqmb0woq
WoF4hY7tOTAdEnX+uZXI8NYRZns7dqQgaCJpf0DUw4k15i/ALEjh2SH+GSCUI5acioZc3EB33vwy
O2QW3TiyKp71Nn6LYCA9MbshGxkHzN5yOnGfIgS/QouEEFONNhJ17YWqj/2AVSK5gnAG3pE1B0nu
YJUq+ib7MbUPtrk2sKWdRHipXeK3q8BwH7jpHZGWEw1cpeF16dnhLYtZBgQfL2UdD/6pqfKXvrH7
j55ml2+170U3jmjckYIKed8SuPmROBIzv2yth5Ja/q7MhvzosqBeawZG0qxCzud0vf1aDcXZqCf5
wdC6p/rpn2wb7okd+dAcOjd4jH0rhUol7VtsdjgutGyP6TLiPkENMtxy3663kzZTj7bNVDZv2N4Q
jjcHrl38u8ojZAGqJVBZbkeqLl9zx/auPEQKaLGsYxzKbN+a9biTLVLMPhYOyqrW3KRMM0K/MN7+
+iw0/30kko5jSMf0hK47xp9XGA2eiOwYN90Ts1PvdaTLJqXNG6d/SXtxiYhnQhJZk+yZT+KUGklB
yS8JSLCNWPG7qiUOiJ5jpIvvmaTOa9G72zk6fXIdKnGfEe41edg7RINTAFwNvkUIOk7bZKtspAbZ
1IChCo/6vR++IWxDtEF1dGVl043e8j9TV8l9Rq/yv3zt+T71rwMLagpcb7ZpAebRjT8GFk1WGhha
J9xPTnGOklGcxQy6tlMtugUoc8pyke3zIH8shIdMHlzaIyuas6Y6Fph1010aC49l78wofBncaH5q
z8VKE5kMnuWyR/0dZD3KwVkIOQ3fDNx/V6aGAzCI4ycuohKIzxUJOs2tbYZHQUYE5ehkmw4+/WmH
2LJUAKutJPSbiCUv7az/sgsM+98PPUQCS3o2fg+qjwacgd/HH6fXSxzBVbjvRdmfxzRwb7rapF8m
Xm2nbe+mwA6PVRD9cCy0G1ZUvqjIX9dOMAAk1SnIZeQ4kb/e9sZDOiaomDNhPmZOAIUJdp7LTeQk
q7p/8SKYzNK79Kr/Xg26vhfViM+NwKlnMyaMAgif1JoYvwpUsNb0ke/Txg6L9Dmn8XaGev2iBW20
ivwkPjZa3T3A6fL9vHzsqAitq2yAM9sVl7TU1RmA5XA9BOO7qzc9MtNs25Qj6nBpPzdjLM+tsKwz
4+VrakX62hZgU/s2au/RD5nXsAZuRdVJloYZ9hCl3XS4ilZTYEngwlN5bmjVrNtR3CzaEsbsAxBX
JIL6QCjPWE33pTTu3a4sTl1V35tm616TyoRmmMVg6U0ojtFL7ui1goIr8Zy0sI7dTuKmmNxdN3mn
dgYcT0qPGPLcO2l0CSnErb4K28DaKA1BKjbFoLRQoDuley1kQwY6WrzNgLRsS/3jpzN6+gY3NfhM
t8pXqkv9S5oZZyoO6S7u03pTuiiJmxxIacTynaisrFoProP4ztCSbQT58KJHHVRADflexLrcn+a8
YIPE44lc8hOabihiGkVzGbokpFeGIKotYSh4ZnLF/C+loqeFGJ+b79IoqXxNI1KuqX/THbPZTSEi
FJyRzP06DI5lDkmhj1k31FP4q0rFBd3mjYFk66yA3wJOQ0CKMOeqYtl1qVMig20HMPJA+vMmGo2E
1nqOFtBBbTFG+iM+8+IuDQeSfW1+MvRt5uqT+4xS7Mp0WPehMLWvs26kwVP62tNfjyyG8P59aIG4
admGaxmW7Vl/TJFDQ6Mw1Dvajm7qsJpNhOfUgbODoht4+mT97FlE3+dl7K9Ho0k3pWPlRxUa733u
BNATKNxpMVwJuPzDBURqeIAnPqyy0HuUnhvta5AF295Rxt407Zc211dDOWY3spDNuR01pHtV30CU
TNtbzyeNWboFC7wL+XDhZW733TEhxVthQKGOclS/ZFRRshIxIPi2hbDZ83MB5RTASSl3ITO5sUEG
rXqpiK3AKn0jYU0C4AN3lnnFN9rmVKrd4qYLQ6jSBudjJA3nVqRttTLtqNmGChLUaGDdzsb2BVa3
c1FJtDFxm80+vW0WHslLaX44Y3OIIIUjtLwI8Z3yRb/XCrrlRbydmETA7wMPIBql9sBD0J/Y0NIY
kDeq57cEwpb0pfxpb9rBpc1jJDcswWjNjQe4F3K9+OClczJtynqpX077jIoNmR3Ke8ZGewMoFDqF
dZdPaK6YeJvHUHrYAVun2mOfD3EmeDCnsGFD/8vNc5IzNUeYdI0Oc2WAlJxlrsc6RRmjsCad7Dwg
ySt2Z1HbrIRAXI3eRT7GOG+ofLnZuvfRYsZJMe09N6luI/QgE9iKjRVgxkMlGQdx9sNLEAZ4sbgy
al+chINXcTlj/z/m579jfuZ113/D/Ky/JUX7J+Rn/sG/Q348+2/SBsfjCMMypeSK/yfkx9Ctv+mW
7Xq6kK7DP9xh8wJ20P/535b3N13XwYxYVPJ0qTuMEg082/kt+TeEVsB4+DEWh6wM/l8gP4ZjOv8y
IFmu51imgwGJv1AyJpl/zHUsz0WqMjji2rwSqV4elwdE+CazLnNimHLEDup/edRKuzj2i+Dz6/ny
YqsH1H/Ria4bxMTHsUZCu5L1sc9g86FdJOYzrecxToGhlFY3TBtk3y4rQ4PA+zqZ2zmhhmCLSujy
oJQL+CUye+9AWWrpVgY10/h9NCsel+dS+CcI4OGuC7LgULHkR015n/f0U6cwe06xNIWjea8Hqb7P
+9uhNCbkahFSA+q7xNAmaCWJwKIzjlv/qQmmx0xX3bVS2UFTghzcWSI9JuUWAqFBzQrpa2C5dwrq
h+WHaArJZLpKuJMDXm9BAxUd8xJr3xogVYOxwnmEF4lGcPXDZJCiteZcYO++wny4J3jwbtTbl1SS
6iFAf/ENyYMEUrZyMmxmWhSJK1v61xWs4lUbeb/sYZ3V2aylpP7aRrT687K9gQiydjN1Y7VS22iT
fKmy8Yxq6s5gkShLO12nKrvLS2edCx+YkX5vownYuhhYPbI7TEsAvACMhjUFuTQf2IbNC/MRhJGo
kYYcXUlGMEiiZiNS4I1wiEq8JRIbW1X01pXK7wkeNFasOwDaxldWbF6Tuv5eznoDutjZKrFTwpyN
6RRG9VsJSRx3/INR1Re3cZ4wqz03Luz5QMWkmttwnnz2O2OZU90Jrb7SkE4kFpEKQ3lS3CXWYVD9
rFpkN3Byf+L9HArETCmEY0yjlBrUD6WQDJsADLNZHJ7sQgSeKFaPZM9jUoi2g0a4hh4NGFD9q8Sx
D7VOYawxQhqgufQ3hVX9EoIV16hP0LTn/MLgznPEOW2ND5lytNLyMeuRKbX5iJ48lL9osROnZp/i
NqBl48zFeUV+wcSXxoy09lgUweDuOPHq8D1SFe0qpxi3tWhNkmzwv6QOPGzvOwBd3BKqPuf5q9JN
1H70KlYG58MVsIwHOO2CXQWwl/AkC0Zy71+bRBjM51OpF/tCd+k8joRM6U24Arp+iQgXVtqZcjU9
A5TSjn0WhJiuzEmyZIlQZ1E3pkk2/iRH9Ta16TkGbUwNF/hvm2Cn6GgH9EZ2VxNvelXpyXNN0IWZ
e7dth/6x00fUqxqZBBksAq0UP61Wv2jYSVqD5ldiYAZ24700RQJKBhz14CAUKEGIKftnR7zkOskE
8FAftUSdPrg6hSrJhNmbhrPpUs8tFAF3wozwEKpVVRFr0zXWJXeIPqxSn4yZap9hP6rgvUMqAdna
0FcaWaCI6KZ220eVEH01I8etnDPZFiBHQXo9l21AzWGV2ehC0gJKVVtCYH5QvctBdhAG4HxRI9MY
7uLrLrHR6Mvgrh3M05Tqp5DCLDtVJ40aaD4W3bQcf/EL3rLIumhhRSJWHX3HO3fQ+4yeaP3g2/F3
tslLVfbe1TCeDcAMk0MZ9cnW9OPrqApYuq/7bqf6Ag33/H0aGXCgBLV7coPJGrZQpkoJcWWEPYKB
mBBtWAJB9StuNVaGt9jUH9tav/cCer4taT/MmM1LF96klEZR3zV3thk9K0K+tQY1TtV2B6Up+0ov
1EXk4z28RbRWDqdX/N6bYEAwGvxq3JYZPTQjItqGk53qD17MySwkcigWPx+6JElpxD3tnps0+vCN
wcD3qu6pTwCKzdtHo4D3ao0osrDegUhCEQlzfL6u/Ic+7H80ZnGvl/37AEyUeMX81hJIgVs8Z3zz
NZzhC1EuBxVTKHe67Js2ANVV5roX1lOBm6CxJhIBmPgb+Pr6VL/3uQk4MCtAZzwqBQ45in8NQX6K
h2mribLFw8PdpKXps0IwDVCMeI1ujopLrmJQAwQXMTfHDCFn22z+pPPxwnXije6jr0lMDIcZyU5+
t6umlffDjhkrOibNrvwxjdawwRfFh0R0qWiCbmQ+z9em3J3Tfm/hDp3I5p1doEQ+6x+OPyMmoECG
k9UBfXGufUGA4aBOzgieps+mS+SDyNLrjTWLuoQsmb0i1Rbpt1BtdT241+fpIUmhpnkYkuxiZT6W
UwdBXlfKTd15mPwR8bYGauH8Lu3TD7QkSDFQqHn98M01B33tDsWlr2C+zlfXMFVbUFazvS78mCRV
ckWqiU/lBaFtzdwetbH2bjfUoJPGo0KP5CUgViohpHjFfOXWzf0ffU7sBugtkoCm760Inochug9c
Cnl9jJII7NQ+opx51Tj6a+63GMlMKKqaOx6GygRkBUNPVPX1QDjjGDKdIJ6E5Ss+fc1fh7YiN2K6
N1ic4cHt96j1kOUOfG5i3eg5KIK4xVoW2/tSGRRHnBeaDETZcbbTAjR2jYuuJIhHnLPiLVAUdOAx
fM8ASWN1wFsZ0z5/zUN974zDhze0Gw2FPOq/Jxw/D/mASAE38FuMtGZHSOGxmUz8gkAECsy/VTBC
w8f9AjrXaFyEcENxZxbi3prCE0Su8Mog1EbABfdq+4KFFbE+/8nNHz28ILR3vllKkFIYxc/lxImo
I5RGqXBqNB1evywZ73CZsd6pdkVO9kU2sb7OJedNT/2MREGSwqeJ6JO0epUqq5C98DoNCnz7EK6u
mVKQZqVzd+MMgbW+C/J0b5fWEWnisbf5g1F4PnlDdqqRrXPE3yKDQN14sn+GCdAmh4pqrLTvHi2L
VSnPMg69g0rMmzZFRNVU6TvsUX1XlCwUG3PXJ6CKdR3CicIyBu04F6dIinVH2BIGl5zgYC5xhC7f
TCt+zMeZPFRXH6TpAE6vnsyEzIe4JCooT9NrOkrE4GG4H3Tzqei5XMPSfXaKtSzdp6hHsGo6/ksC
Hmsjw/pNuOl5tItyHRTxvZ35H3le6xsMG9yCYlAuI8VrXAsRURmRHjHezAkL2fDdLEsMvIF+W5rf
p8IgyC19hDsOOP0tu6Unx1wA5QBVdUbEzGoeXYvYyTTTXzSNAGCz50zw0XP3DT+iF+4LmDKbyQ+4
Y3AsFDXVEQVbC/BJITRFyUC/+8FwCaLyLqanvyvp/mxCLCVNo66TxhVEltGPJIFcFMUTnibkYaF+
aTBIXcWoplwTta5oyTLSlYUdYxC4z4IzXVm6P4dOj5gfJcFbaiboM4JvVTLdhgB2ac3c4ri5AZPo
rbBMn8wGUkSTUV6hbdKALqPxOzyPOZ40ENQPk2u+55p9KiRaFyNNH7rUviboDp/q4BcrQIagHi+q
CF5kMQACSkKqeibjLi0Dhr+1lluPVCngYtvU9D069Xk0vMqYTOisLS8+E2u+Ck7TESICkEJuQmFw
JtBYXQ3ZzhN7mSJYMOA/UUgOMvgvujv+iHHP6gFWlJoyxBa9w9XYyBMzcs3KyC6SBZiGcVsp/5Ea
VrtyW1I2fDzwujc3G0Np4hC5K0ykKHHDAEeM/f3cxb3y2oBfMHNicAF8o7v1aLsIXrXcJ9N6hEwC
+/IlMWaJXPUjb6z7WEOFmKbht8FVr07Y/6S1/iEme1bffo88XHOlzr4KfWQ+tBDpUlME8Eh3t9p4
jywV2ka2G6W6Zv1+soX0yTWt3xH9usw76m1E/gKKiyYGixc5ryLOTn5V/QpbbrGjkb4r4a6l4e5R
MQXom5M7oys9UvxAo7dECOu5ujH05OwZPWb00P7eppgGcqcjqGS+4ZG2qT6KbraLqnr2VmYH0jhB
iegVt/+OkFb3uxlDpsPAvGPABcCGKhHDRKJbzP+R+OJaGH4w4NybhMZ4/p1Cj5FgI8hbFBQFYluw
ZAkB49Udsh5MgxTp9iEeahk/DVb+OAYBt/+VDwh15WXwA5I5RyOc9TZaDHBCMFPupLyq5EBtFOVF
AThmCp2z8iER4oBaj1WDBg9wPbJf4OXZthfddVWoB4GKF8dIse8mYN6698MKxvvGTOW+7qrLqIxn
vXRpVsXXGnobLl0uMJfCPAbHqxTS1zSpbEVY96GPuKbgZ6McMe4Szd3VQ8d8gFiqcA4zq7xnYQBa
KRqKh2aEo0Z3rDMJAqukNZ4TJyTZRYLg6Adid0n2crLT4D/GyoIelM6zWgs8jB1zA4yomGrRTYem
dQvapVuZBUrwkTHK82h2+G++MtpDlxH5QJrRJnzUdPhUOcX4q2ZWz9nZtanQsPiZ82Ra4bML/6NQ
zu0crBKU3Sw8/+jof0Kwvs7FiyX6jyj0fwaTeoVf8L0L7efAYr7tuUfW3xdgYr+qpLzzXRcZZAQC
nILoCpkPuSV4CAz5A1LCwTCG6zo604BuN3BIdm5BRwTCmmF2+0owWRgyckI7NRabyKZ/FBTlY1Ph
X48pyCU5i1pPx7FGF/tbBjWKi3PQWPGFb2F9hrcnV6S3VtghoZBFyb2YTHDoY/gRu9a2Cx4l9z1h
b350ysiOiEScPQaIq8V8vTyAsaLMsGzG0HAIwjCizfI0y/BylpzrNLRHmjlkHwf+OEtzsRP3cyXC
C85hVCHjyeGteWX5c/m5FO75VVlXwZqC7T8+u5h/fQ7WZSNtUiWX/7i8NkB72MXagDAJ6ypCaFzh
7lz06HsDeRYKYlwnov7mz68tD4orDVJlA4bXjourrFKkckLnTVcjnc6NFvEJgUdkHGXV4L1XSC+9
JqQPt1ig26R56McJQ3Tinil+AlT5LMaoKMHHBCp8LtDQfG3RK6MIbv75bfP5e0mJ0liXMju28x5Y
tkrD5Zctm142ZHReBFwqTlpvVoJ7dOkT5iXz5vxQaEFOJMquos7NzVsl02r5WmmjWRM0db7m5+by
v50RRg5XLbryz006CRs7t6P98vuGpqFh28zTuhesN5977nMvRRq5YHJW38+7dNkrZJiVdIsMqi7z
a8v+X/b1srW89nk6LM+XBzNFFgzmYF/haGxVd78c+AjyF2k48675OhuWd+oBLQ5Npwk5Krti+SNF
X7N/2qAAydlS7hhl9b0dmo3bpPR85w+xcqefsO2Y28zzJWcdJRCCCgIz3OZTAb4WagwDLP9xfshi
29lNwQQ2o+KwoqvP99huCZqktFP82y/+7W9YNlGDwKgX4ayY5U/8PHoRmXvEC5tiPcwnRzhX0boa
2IMN9Gq4T1NkOcuuGij3ERP6ddW4wvFHYhHZoX/uQbMKb/EtuRrsLTPMkZPFbviudZm++drDXCJH
4biwF+ezavmTCuwXCNF69PP8LT1u4dSe9G2pS1hfTcaFroS2/fyv83W1/OTyif/ja15H8G7I7Wa9
nAl09KklINNf/mRwVs4e2AQtx39cZPN/gJrGf7CYFpfBSCeBk3fopIJvNNvkCSJ2KEv57nyl/Y+/
1y7SA8jukggDkvaW3738yuWvneIbLLDgLczCxkq2XGnLN17KnF9n1/xa4VibeUSSYnI2vlOpbeik
FyfQOBGXM295+LpafztFPzeX9yfKoHtvroPMO/vzR9pQ7rTntsm3n0c1r4JmJ4L68HWFL19v+ZHl
teVpMJ+Feg+4u03YTU60Xd4jy+Yf++Pr5/88BZfny1Fbtj5/Znn+ufnH+8vTP177PG3LivyOz6GH
DFpKx6kFVRhQVSr2Bv38ld7b9uf+Ed6cfCBg444YyIiadCWB38sRVzCE6Ame86m9c2KQbgWN0ZRp
IOa7ViV3uWvuVd2dZG+VR2qNd1h5igYCBXQw4kUKrJF7U4PcVmndXhuBLywPBYr6Y23UQEmX507q
khlZEhW5dgqnZTaGudnN+5AqaMU7y///z5vkZZZb5YoH6N4TUpDHkeiZk5of/EhxF1ie+4L899Wy
2QnQ2FE9S5kGOBP4NYPT8kZAeM6KBKitnTFCZ/Plszx4823j6+nXa4M5sIuXtz83l7fc5bT/+v9/
8f7XJ0eDU+ytWsTETwz1tP368d8+7nPTmf+c3179/NW/vfD1B359yn967eu3L++SM/qe+zX8DbPB
sP7XX1rMw8EfHz8RwAFCqX36/LivnfPH//vtT/36GMjCAzJz1lLL/15+fczJRfb3W5jjPQYaSt3q
t81hpnuIbPT2HVhs/Z/tF7KUsG7PD8try9bSl1meNkOy7SCv7PQuggOAtR2X2OwiXR7G5cUAVjAr
tCAAVTjfRhbvFn8Mg//X8yQr7RWFKiahy7ifL9OY+YFOMtd5MA/7Xo1kqTCNu6UzIzM1B47Mo5fO
DQ6JDouaehnb4NYxF3MgAc8DnKuq+Dh89nRI3eLTALQHeytxiVnS6QjlTRjqm6WhE8z3I50Ec3Sn
NonvuNtSHIfsr9kA92V0W54iZn7P6B1sjBmDJOaLdtliJrFT4VRTqYyCK7rrEXiYjpV5neuY3pFR
rvMZBuTONIPyn1t/vFbXOky5WGXUNOhgtQbc4+VBIYA6fr4W68MOxPVKn6yr5b3e8khlqZhLzscT
Q3p1XLYMdszn1vIaQmnOAQl6YRxjyL91w+xXSlz6AwhBxGjz8V+e27V49ovC3yzttaXbRuubHbIc
4a/u21jWyYrVNRXjeV5XzQ/L1nKk/3gNN2VDYbD6ES+3988O3Of2cqD7nJpa63qr5XAuh/irI2cv
t6LP5/MNy56YeuVoJZdmXLTYFZfNcTEd9mTtHZOo+sDrXuLT5ohaGnjz347o8iLJU9Rmmat2ms4e
mEIyiW1GeS0G2WfNx9bv4V2wGOQ5gFRYtVn6JGfEEyl9hTqVRdweRvvN1736CKzq94f/9BoVmL0W
NcYuNMzmOCIs+Hxoc8oADdlOm6/Xxipo6bJTXYaqYK3rgHCmKfpOJG95oAYpN6rpX6UxcQ0uxylY
DtGyiRPtyceoC0mx4Vz/OhLLgfk6OmFtsEh14CMsh+DrwZkHp6+ny5XptXaxScbkYzkMywH6T4eq
m4+PKkS5Dyh3LQeltL2tVWb2brnSPg/RcuW5cS9XAB1picyOG2RGK6BW4z7x85Rc35k4Nc/Oia1G
+bfAX6Kk/OHTSdioed8FBrs9dclfu1qef256gdOTYsb6edmF+rwfP/f3vLU8NSygIaBNrz6vjFi4
sCncl2WAXK4dbxzQ/S2bn9dSYUcHm6A2qDK0pu3MHVYmRx/mCY7YUDPESkdIw6pIJPuB5Hb6lxSa
l3eneaTwc9xK9lQ+L+dSZQF5KeaHr6fL1vKa1DQaD0wgljMtnHeDNn/G/5dW5Ijhxv8mrbBgO/+V
tOKc0MUosn+VVXz+0D9kFdbfSDoyHClMCDSm9FBc/D07CW0E4gkbkZcjdFQXLm/9XVZhOvM7yFiR
NLoufKh/yU6yDcng+n/ZO6/lxrksS7/KvAA64A8wlyRBK1KUUqKUeYOQlCngwHv39P0BqglVZff0
dN9PRfwsuhQdcMzea33Lxrww/1vnfyKrIFzgL50XdyDR0F1gIggrDF7uX+WTVRejH7Y1ji8pTkk+
6jCAcW4LEByJH976iv7oAHeqoHC7aZUfsaMZVLc0GFYxcP60Ab+LZGSdAaWlThCDQcPNAa7JPKDb
Uo4qenoKysesCirDAzET9pk84WtlHxWvDbhJ675q3ocSmjtYM7r87LQNZ9qYowYE0Y23aFWc42Sk
0P2doCNpEVSVntviWJCfXFhEyVc1c32lKjZ7CTycy7XvC8VcDzo+OwpUG0vgN1we0iHRZV//qOxz
gS0/qLeA8W5k0ekIp4J/XATATHCH++kmtlgzLDfjNAUQjWtk/f3k5YHlQs7/Yrm2/JXl2phBjnct
jIcUnNFIfIb1jC9ySH6Y1CQ9LRdwwGhrTD46UvjN9qjrRxfl3PHrWpNvUqp063ECxh1oeOz9Fi7E
NCUnJ3XZI7iu8tCWUmxz/w5SBCComl2HQzbv6fsioluyZrfigF/xaXX5srM2REUQEWjpxUna8o4S
4OTVl9S26GfXKOoy9Ch4zdKr3jsfdsHs2JVT79lq8pqQOroJZfHLcQCAuKN48Puo2qihDeU4crJT
TcjNqgogszrKz9YJkQ93ybYrlXitucO0p8FwR4INRvaqFRtzKPVz0OjaeehHE+t3g47YDWx1G1UY
SbERHRSHRodeB7gIWi28I0PVyLTs3LkJkOspPZPfBGzCPEHwaQk5aL2o0d+hvXY4Q23CVlRVP6Oa
JtG6avyNYeXGuagsHM0dk4tMuh8j1Zkhdsc7e0CjWVkoAQPFCs/UTzg6mynZ9vh1IOgYe1DY6QUq
XgVcpOp2BgFSJsgVYnkxU407k3CgwcSBh5UW03ra36EKMDFRERbSDziKhty6UxPimYVDSs78mFv0
fHtAT1Jf71bLE+wIsrFeKTuNj34mW8A4a/O7burw1ilz4Vkyfc+PTfOFLdP7UbdIPVKnZztAP9hQ
cl6NcTbdAb8a73pb8n1YCT0L5UNMTbAlaRKQkDZFO2skwKYF0bauTZa6EcFpW0yV/3JfX+FUji9k
K0xAdsL0BI9U3Y9KtYW9x05z3m7WvDgL2vnqcuf3xUyuxemVrBgASU+Z9VqayStHQKWXW/q8m4gh
D9LoJaLGBjc/Fyy8snqYrOB5kBSJOTb0E6HoX3SUgZOFPIhrMse6zZZeCXp6GwfdZaGSttZU0C+p
wMuXkC1W0PI0HEDXeGbnFZEDKd1Jfy3lkJ6+/j537fVXyfSrlrNUT1G3bipsA3vVL5Jp/UGcKcTL
2birzxdg0EyLX85xgbBlM/dwISBWHZVLVJv75S63Kmlas6DwKkOrPIYE6s2zukEWXbjpbfq2ah6k
HtEmhG64ZQ0rZJ7RsVx8xEPXeeG8YI/mi3Fevy/XlvsGB6JqnKCy16C51b5jgRLBud5QoCQ/bPLM
AsyE8N03o3KTbT0vEJe3NKXBmyYr4kXnXYPV9mB6HerarM/JZjWTDeV9Kk2uQOEyJ6MyjVWemyHB
ITujWWNkYTVDuX5tzGVFsaycoWgWxwUaiggcL4wP+krHEKhmKsV0I92DWd6qOC1lVu6QQZOUq9gj
Vtjm2Zjd+yVl/K2e03r1+dJlh1YlJat2jbqhp4KhZuD36GvYDQE2vQR2qY+GuxY1BIMgu6u7Mtxa
UvmdzaI8Sfm/zSzIQcpX+YW4L6aKpeK0FLq+i6d96cDzkoByc0Ul5m0uSi4HwHdZr87zx0ZtQS/N
i96lGmxbkulqqRH77Tx5IaNHtBVh4ieFeSNnoIgyo0XgbRFallTDJmgMrOed/qHjhfaI4sIUNdUP
C6e+7GsDDwBNwp9W/SeYl/6EzIxsOOZFrCBLiTM1cxETD1porEPH/iQ/pgIqwjMTSJiboXCh2c3P
RtNGfvUMCvSj1hNpBKq41yVKp2ZbjYeSZvZBgmdms6aQfTWO4Kkn80VPHvty6A5/ffblZvdVdcV9
ONbAdZevAbfWWlfRKy+3loulRmkNNkT88b2f8ZFTZBtsk4zMswqdGMMZE6mnEhtzGa4TlaMjng/Q
GELuNE5iVenA0v0S+fYC3JsugzAoAisaZT6wl05W3fUzbhbkfrhqibP3WjQ/G38u5i/gVZobQrJR
iLRqOII2LAZLHsfZba924Q+1YYAg+zHwYKhXq2IQLYX8bvMN4Z0oDFEKm3fkwqJ84K5BTRaHsCPD
cd68pgRfRLH094nNXFBUxaaYCxv2zLX5vljuq6f2QQ2qZrsMb8uFMQ973zfVechLpUJhMBDEtOYB
c2tb7JezP1A1RoPl6nLhuJYLtVFYCFSbO7TVDrU8QFv24PfH5aLRWiqnNfDJmQ5MuuXZJnYejqlL
pUXv7tn4TV5jqr+W113G2+W9/HVzmis3mZ0CdGXnL9y1hg7m4McFdbiuHE04uMlLbQEOhySkHpeL
WgG/U6d8I7kamHeaKMud3iA+ZP2F7kgJT7qpbKasGPZonxQIN3jI5iMzhFmZY78jRGNpaS2dIszZ
GGlZyH/ViXu/JAPCWkVdqG1JkviZlASy8A+lQx26FjoDc2nEJ0R78W6p2S/NinQaqSt99y2WR74f
1tJ93bbEoMw9je+7l2uY5IqD6H5BVuIbAN0AXJ+xbr5F7Ck+9blM9n3z65phxwcD3Gtb2oEGHpon
53FAeX35HgvLzrtTRF4V3RawIXziTM+Goxkl6l0EWmWOZDx0Be3bQJCUIKvsj0w77agphnYkr4vc
Ktd9GOe6xQJGXa5Fc/0pkxU7/OXqcuf3c/6z+yB2Ej6gBPH6+8nLNZDv1Z7W6+b7/r/+/fKAPddK
lmvtQAClohjm16lXFCmAxeUsLCs7o7Y84GfW8zRaA0LdwODZlr6a7Bci9/cU+n1zudZNJg6F5eHl
9jLNft9M0fYRuQK+Y6jkKtPUwVumHH2efKpuZEe93O7n88gygbKnNWrYcC4DLBeOOsAgcPBC7ruy
X/dG0d4tFwOy183IjAyGXtabQitwpNMZYkZmiCYeuu2O/pT79R5hpL8bg9pry7058m3YUNyn9XIV
6g/LZDg91JP+euifniXbqFe9IaUwsDwrA/mVF4dJMPp4Symlns+G73InPav6H48UsU0NcXmIXUtJ
Z3iuh05zQ4VgszzFaM/VcakMf/8VvbZQUImhS04E6cWbfOlcaEu35OuP//M933/Sn0vUy19c7htq
3Tm0Yr3c/dezQvq/49cjX1eXV/96I8tTl9uyFDxruf31it9/So0wSuqu3WQnIQBQ//X3v9/F19v+
fvj7r/837svTUyRKIqe3bIQOkz8izInn9FhqwxuIRoUx7dV+fBoyc1hPlETxrpcXM1LpgxJRhNMt
u0USdWvuFrcY+gqL2cnaZii1d5ovrnU8FK9shT9Zor81Iiy9ifoMxkqFEBGdp2s56MtUt8iTqsNn
6D7qpo1i1BEuAWRIulepj5K2Jp/BSyQxGk3ePBm5ZKZx6CxNzCgQGLqnqUeg1pbqC/amiTIvwe+d
OAVZdFJCMr6QPsA7mz+mObAL6Nt6myhMfDYYg36MvZL16XpoInD4TUMHuwZK21VFsiuy5o9vh5LT
F3FjqHY/9WZAHW6/OlGDSKeIKEFSPjOrajsO2i9DgSzUbbscRrxewkwmTsI4iBZ4O6fLPq5jil98
b0ltnrACtwx98mfokOwZhr/78R0AKyw9eKUQiLptkIUvTUczWBjhwSzZkGakJQaGsTOa4l4rgoaf
qoQDHrS/bZzPhepaO92nIoHiahsgK/Xgu70gJv9tKZvKngsY6cjcyj+d4wUfYwLujHhrkQsItCKF
k5vYXpgY77GfPLiUJm5d+g7RzmtZct2PLaoPEhFQgMxAN/VaUnykC2Do0CxFBW8tY8dhtsU6sH9N
rqMCanHrQx5jOFQT0KyRASSeXfZuqFDWI+rGfEEHDNiwu3Od5k2d6nAzVMGtHtzoFAPdXFM4aTYF
20cPEBCRPzGs4dTyhspMtrIIodgbzlvEkX6MmKnhk3bTVg2Jvhq0Z18AGih0BR0tC9CU1SoUVm03
NP6xV9F6hcVALzHQfjh9Ze4IGDmEaWk+StP54RTJBW0Tu/cAngIabVojZC6WQw/qTPFcyhkbn698
J213p/TokYO0vSODwP+tdPUd/yF2jWOCRfpqdlkzwIHBqzG7MExK2hl4MjZRjpPDMpOjNan3Lg3C
Qxw01VEV0Z3ajeO9iynykCrJpShRB5LhSPgOIj4TOHJHAC091doze5ifTjsZ20FHOte6SMQj4ugD
E8l107wv3QcH7OihL14UwPFUV8HpGOB1I/hqVorBN8sa60xIHdK4DpKMTmEcLVcH0bkTj+C2opEc
4QTsTGbFr6VhvVu19WjiPHgt0NcVDFHEtsXqyilbdd0PU7XTyQs4q+pZ1oBaxEBb3NTzimfRNUgM
WJjVcCHwBIM5UKRYe7Dztr6O2SdtIPg4tX1iZF1BLGTsexJ3perGj1WRH8pgMClgKXggtFsm/W0S
EhFSAOyyI4K50sBuSEQg2WKMa7nOuvq3HybWxjfdH5Yo6315aqPa3JkmqKzSLpHQtQMiNSXp0eP4
nG7WcaKqxTLPoWBeIKzHt1EniGB7v/3DIhfXzEDurM/glKdd7TUJ9NtWqJDh3WPqhMM2t6JL6WuN
R3TxL5rRzAFkUtVhUqEPY+QTJYvQhrqPXmTVNg79F6BnEcJoWt0WcYu9+qMQin8kmA5RAWCLpjRP
sYrHRhmAFUVaH0OvrX/3DbQUnzEKF0XaenNIbGGCu5JNfcmQeOI6tLetjW3EeepbqH8uSrmNo6u/
pa2frNFA/9LLt6lPZr+Hup7bH1hrNH+bud2ZrI+bUVmANKFHbMnYZot767rks5A1uSFuJfY5eApL
4fAt3ihT8Jk6lW9Hi3+6/rCf7PxJC8Ei13mMfUQE63wKMSzPitrQNNIfKTmeoPA2IIjaayLuaoN2
B2jwxw7G0SaAH+L1QQM8mYCcrTsam4KYFS/UpsKTw1sb9L8GB53Z1D83QULsBwvLoU5+uLJ7Vka6
l6kee0MdnkZluM90+73LtpDikrUU0dHtiDwoIZ3konc2g/rZh4W6gRr96ZB4ThAu4V+u6FD7cPjJ
AphbXUwXbf6CYFBi68c+B6i+ge9q0vPD44NDpMg2hQER2mV9tBla+V70npPkpRe1HZQ4jAt4yKGr
sfV0mKoIknfbM2mojmdAbUBkTaqLmmm/SclFzy1fTRNDi4XngMCz7r1FKEWKeMF5AZJQhhpZzHRI
9V+dKPW1X5CUQR2qyLFC2K15CWrp+WpAz3McHfxMa7upAhSbNlmDSvjTtM5T6mOyQykY9oiCTL/9
aRoxhHzoiVVvnVrbti9aFp4rNc9WgYsVJU6cC/VmZxvNSLMgIEyM3CPSZsbioUy0PbMwurvG3EaC
CHU9ml6AvSC/ihrb62w924QsGleYZooVEd8PtswtdJDUSMLhzYQVvYn4Reo6uVXhNLBm1P/o+TUA
eLA2SYjcDObIUHgj8vVUvxVh9GxOylvjSjq2fovzauriA9vVy+hnOsuC8N7otLMZatnOKu7TTLs6
E4LlzI3KbacM3uQ2+TpoAhCQJoNx6JcAIIxnuK85um3mZQoIj6ZiPAufAZJodvWhCLJ2V2WRQZlH
eTRzFFRpi72rK4J126RyHeZw/IcIdHTo4iZu6msM600Xcj4gpjupptchJ7s24idLhTiMAY1EACRg
+4U4KVkQHnIY24gyEhC74JjBMbDya9aBEM9FXJ3aLLwKWdYn7HzvJjYprQDIbEpgClAMMDRSCwyB
q9ot1CVfUzFgNv6HFg5P7cT3qESAphOfZAXmMWQALtIHt2QF2+mPmmUATo0uE1RLXTEaTw2RHRdA
dTYaOGvaf+8JFq8tCIgefRmaUbfuVoblwI3vJEVUloCGW9+rY5WuhsJYd4bYkdLlBVYe/GHPQRUf
aKH7UinZo1sE3Uoz5UhJuIBOcOyzfNdnIjnqkWT5pGIniHVjW7T9I7tcJmrOukpTGOEshNbIvyGM
Bepa18YnNns/CIWK73pJUEgiqZJB4rNN9xzO25ApfQQ1l0Do7TaaE0/n0SgeNKlqJ6Uh2CZTTnXU
oJSvENxincVBNZXFg9tV1JodzZsCg4S/oBjWVZmfKImHqDNY3Qr2fMqrIqjA1ey91jGZl+s8drZU
m7JrIF1xDxRjaHL3F8MRvGEW89ui0UhPbwft0lXxqVLVo+syg0stIIWgy+COJpIODMnZo2UccmSG
hTkOV2GoqacqGtyayJZzBirpc1Qm96ZNg11r98jDPPKD8hN2jE9hkWvRMidt1Db7yCPzt1RYayWi
VTDSUBDqE3W476EDxj34OtJqdTLuPTtpD0WvhiD0NEz3DA0MiK760BN7GMYlKm7HOtgmtd2kdz2W
SQrIs7iC6c3cZ9WX2Awr9l5Dv8o7CpSuIBVXUWu5A8exgQ9UHXqtinaGXSXrZo60hdVqJ4a5bnRp
b3M6N8wd762dQh1IGJUlRLKNVft3UQ493vbDT1mfI2KVU+ZXlpHEtqXFo2H/IDVHe/IrbdMHfb11
HYE9N95YZfmz7iict41+M3UW964wHtLAeimMekMB70EDTca+L2u8QZtIQSH8eqPmE4kFSreG2ArP
hW98DJWGik+Ah6No98lw6toYIqKASmYOj4BlUZPlfQp29ijaMFqbqX5taHSuGxWdfeaMm87pJbgA
7lJ8xV+p1XTDXc6+wNfJtckkaTxkDPVKjYuAzpxWTM0GzwhLGPpiGGmwa4a0/Jlt+iZ5GtNqWAuZ
/jYyQdYx/gr2YyBpNYkEPy/1Y1n+gWnQYKfyScKM26NErZRXNjwOQck3DvMCHwO5CpFA6ZEggWaX
g96mhcpgpOfE5pWT3EIiWWPg7Y17FQ4Yq64YFucUbeIZnRDJ9lfL2L8GzIU9MLZ/Vk3UMuA5eAhM
wcnUvtlD8xS37oMJ3mooJ2oMGt4uf/KqGkGNMQ5vY4ahNNXdly4laUEV6moqShuMasF2LRyJnGl7
j0LaCehayJmaUtKnAJQ6mMwrZf6U+iqwonug8qJDWlenJLycOinfLYntpKswSFr6DXHQJ9E628ga
rK0ddH/Mcbqk8fwD2sWB34xtmwn7Mq3GbU92GZQVwB6p+xJP2q4Q3Z82HZ71MCCd2NyxrH/z43Ak
QZDFcubajypoQ9KlnuKI4IxEaQALtrsst8ZNNhtk1XRlOZyQOWL3TWcM5xxSae4jkR/EGwGt6aro
A9ebCh0NFFmbt2CxcAe5dteqekGLshxOjXmhNRRs7ImIjXBKn9XY53uaHTtGamzGZLxn70IlyFJO
DWtSRmGXco3atLeJoOkLuxQ9Jj6hnvjKitHHiVaZ2zFsPujbfobtND9E4THQObRt85lR4ndJ82xb
pPhzu6DkxAhhI7mM2r5FjuQ0BHed0jGJBpj46KxjRaa14Fqd5yrlzQ4I+iCBK3AeOXt6cnfZpfhk
FTg09BL5W53CaSVS62c+rsl1JYErJrPSlXMSAUU/jslaKAO9FZ18hk5QH5kkZC+KiXWVf4YTiclh
OO5DOb5rWaOvCV04+P78BtQu22th1SIiw2qqvLbBrAsVAihy+2I0BjC97mpkygM4o3s34ldKo4BS
atp/GC7Bqw3zExv5siWpV8rwORA+JlmMVkYQO0cYk7itlJAdchhcXT1HlpQC52MXygoAoKXXueQW
yMakwsyoNiJyGTKHSqk7ovFm9d4OGV+IzxRpqrincgtua0DvJhyxJakjWG4J8+EupsIgrRnDIPo3
UHHQsUm8mmzAsQUql6SPbqP2FurazyAlkbuprQJUHLNzY65lp9UXEK4iUWiUDPZZN4R1mlm1QFsJ
pzQBsVXqieoTRne08fukVstLl4DpattnOVr+uSJV3CEuuoPbAqESV3/btaCLZz0YM/JYiK3WqKrX
xfEnuYs0JkuVWCGkmLURomAkGWPtGj1hFyNasLTRqCQS/ZrAht221iP5SM9t/+mGVL1t7bm3ynZN
yNAvxXoWwmaWMzoSVnKx9xN2i/SJVqJlBBABr18lkVzT/DqEhbhYhUrOYR5od9lIwE7LSrWMTFYO
pCUPeSHXWs0IojZinTr1NVRoCpaxyfAQXd0Qv2GrvmuBX+1G3sK60Bj5eM+h4eReSc9cYzlauep5
3qPCTPJXmq+VnJB8JKJeXloE+YB9NchXug5h1mL5bRMDVzhX2ajEfvTJpsXg7cGZfY7r6rNJ889Z
U2Kl8r7LMCyyU/FnsVkpb2HvOhtdouaSCatz5dWQIYmltTWehfwwk/RqpZN1AEdmrlLWnd1kjCu9
NM5qrTzXxHOuBjvLQNCoK+2W+i0QobxjMMbQpzXhh9IBUyjRWbG7JwKreGLSPBvF9CDIoVinnjH/
Tlocueu+M/iM+AvWXamTxhBwtADAJudN6mSSFKzN3Eej134ShupuIRltDNKkI2JvQ0P8gPuOKcs8
xxYSgwQOuQzCK/U4jFJ9fBUW7VNkFmXdk5ccPcluesRv/BDI8SCb4tLU6RZwuxXrP3M+gg+MWJQf
BT6voCd30Jo4vJS7QYJryCaxnTemE7FCnLgsaAPtnujeN903nie9JVtjanctlu8oFBX4BLRy6Wxf
Vp4dPPCFpZ47OEyr6itFhI8L/vqXOXUPOr+W4Zsedi44jT+caXoqzQHvH1FKNC5ZILIrXYuoS7dN
yhFTmVm+dqyKMHcX3nL1axLiF0ZZSgjaGRbXZ1u7v4y2fc+y9772BSYb9S6Fy08b6aFUiO2ys0+d
N5tMxSehLz8SK3/C+jEhlHMJrsnEu8vxvKvj9mfGApsgIIYkGPPxCs7xWxJVh6oSPzJJi8hMKBQM
B3PM4M0VPyyLnDaSeoVW/+hFug0HWsW54z84w0Rluas+Yyd+cINbT9aZXivAQCKMqMlHodJVqoRy
SpR2i2SE7IgAZmXVlenaqt1io2vliyKvxSR/xk39Jw0uBtEtu6IgRSBonHOuw/xow3sfQgiMd/iD
1qdFcjVIlrlYpRsgH/V8TQ+NKhIr7bDwGiFher8YZr0Pg9dqCJRD2owPis9WUMCiT+TjJHf/X9D3
3xL0oaT7L1lJj2H++8//Anb3lv0GjbT8zRnhqn/9w3+I+oT2b2BQdc02bNfWnQWI9A9RHw85rmkS
aSFc2xGwCv8PKUn/N/4FKj8kfbap4pD9JiXx50xL1VwLWpn1P5HzwSf8F0gSjSz+Z6imwXvgfRl/
czDLKmir1HXzPRmu2YrCza9xzmN8Gp1G36l+fuW8aOYYuW7dZej0endgE5JFAM01bdsm4gL0I0iv
Ttk9Ofl0krr16gBQXBnyzqnnSp0GiiV+S/34LHJc84q5cqJzmOaHOr8YlnwoM3Hp6ZUDGRh2HcAd
10UPVeaOQ9bH9IgIyyHs7aHpzW060YGa8h5srx/sgzS5JFjQN42DelY3khQ6CyMoxLFbO51F5aAG
Gaizlop5jA1cNUqEaEAFQQMK/7MhQCpTKDwybCahinrWvrgZMJVyQpLTZIwdTPx5x5CX6aSbj+zY
oPtciqSjOzxoV9Lo9o0pfnfM2JWbdhS/en1t1+beZX+g03GIdYJRlX5XVu1TY/LamMRdkf7px/FR
KSsaPMGfEW640eCwh9OKngYVgvJDAKGlh9idYz8/BTXfphiUTZZ1D72anGWTnPOMhKSMLAWr2Jil
CtlpvMpKXBSpnnAInHJXvbq+egsVa29k49UvKSjp2yrVbpVSs9yuvLoeKckn56qRnxp7UFeRL+Q6
P0qnfdJD67WNAy891n7tidy5CGOAOgwTL47eNGs6jT0fMyYoW+seQ9U/6MHBjRuUO+2WTeQZqfbV
jMZTBNrCreJj78pjFaGpwTsmSWvGK3AuNHoolGhZMaE420jWMXrSg96LjxQKLz0bwVwAlhrrrVDG
qzrZ52Z8URMQAa4Zfhopx0Fg5yfATqTEEARTmvs+C7wxwkgMZBP4gUPqB6+c1/60SgaCW5uCad54
jbvkLbCSu6D3XEe7FqG1L5rwGMEgpHh5VKv4PP/Cmt/f2lrHEh2/m3HyaQXhZ9mQgsXXWCjTDUbR
GQ71k1buqlj9GFXc/hpCT3XYjbOKEb5WkhHVHLdrqiOPbgbwA03gabIJYwx0qsiGexy0/jpM9r4d
5TE1VrFmXfLJuugh32AxnLTQ3AfBSMpe8ukEOKKJEJ4zK7aqGZ8Niz0yx+RUWnsVg7aJaMW3hg+n
0M+O45Hq8GRD4ewL8zWkaDn15FwW8bkCvL+8xtjGq2E0rjW1JJYOhKiWwadfO/YqyYZdMCRvQoWQ
Y9YenMsjVeoNUlJkXue8Ga8dOEU4E69WG31WhE6P6ITIHDyqY3Km+3QEt3NOR7n3c9rG1Xib59IU
HzpQrquc4nPcs/mOOFaV6kece1007KqyezST9qlS0nM3DwfO+xBON3dqH3tC4oLhUecnAb34Vnc/
wZMdm366iXK6zb8g4KaTksSUMtO3+YuZj0eIQY9CEjidTzciEME+jZjVgZDxkXwgm4NVrQyyrC2d
n0Ypp2tfq9dG73eAEHRi3gOj4u9VG5fPE7sCI+icsG291vhg6d7uaYC94+ufQsYE32x/tKBu52M7
jofT/N7IqaYc0TVPEpRlNOm7KMrOESFLlE6nk03k0wSIZtWm7Tatk8/BND0pX3v6JVBkn3St2c4H
E9K+LVLEm99QyE5vDd+U0YnXoWAVzf78ppqHWnF/4CDckjqA8H/2NbUM09NVVMM1tAYYcNamybwi
HUBZjTcR9TvSLhhlcvnmwKgGiPxwVw/WxazUj5BeifQDgESBXBukjBpi+HAt/zmjz+Fa0SeQsBNr
xzU4gpMSSK8Zj3lAGRxCq3L1+/zOyLuNDatm1Jt9OcXzLuliWjSfS/VKUQ69GFctpGXTyXinofOg
5tGxqQyc9ckZu/w2Hzg9xpBDgm/axrJR/aqN6r4lisQtmqeaTLUpQQ7mD6eJE2H+D7rcFnS4YnB4
DbSrrUA7lVb7UfvDdZg1bGb7VOqcYpFJ/GJIgUVQQWawknT/4Jq1GYvjZPZcPc0Dtgn+GtDKvcvM
1kTTTYvSt6Ysn3X/RqHjyfCp70hz+NDDP7V0D8FgX+ZTch4TVFdcwojfjpOo1jnHNI3Kcxc4r21b
gOPOmGlc87VsrT1zIhk6avMIsZimQQ29rbuyvHxreI0kY3Sj+RESIbHqgexZ0KIit+f8CO+q8DK/
VqqLy3LGwTqDvhMQ2mD+ahSFnoQ/F0PD+07CIbWjWc0yzmt+tNMBorrjoLBhRAtJsS7w16rVvDhR
+Ub9rENOrn2QRzPjBy0AL35xZ8wbfb23jxFD7B2FnQQG7ah67LQNeHNHprvnRE7jPurqDYmyNZW8
+DUdhqubxyPZjOmp0Wqa/pa5Mnyn8WI4hSs/68eMeZYEsswaiBzSNWyi6tPQh91Ri3qKcnMq+nJt
uW+c5LjrU2ARwn4gOUjfLkrBFOjNcbm2XChm9Y+bpjG/bXAhaY31D5HjgMvu6IrgpaNgTJ2puaMa
6R9VrAd0UhJ/LaxQGiS9ThoGQS76WeucRmaz9QERasChSLfyj76TbYc8eQkpv3pBg5TOoVZ/SLuY
+gZRyqMqb5rQwsMIsdUJJ4aQVt2TMLbVHMWbsm7TTbGXAcpCYbFiDkBF+urUnzZppTHyxNmsHcFf
HFYlWtpRcE+j3ylF2MPvRxVRtkp9Ksa8+bpokRCfeHPTfhL1RYTVsGVRRMEDfURIfT1RwmuWmzm9
WvPmrNzEepssdx8yC3hl6LyRqkEWQNs5R5m1vyRZrhmmIQ/lGPxDQZncHpiNE/MGUBORQUEyJiJc
Wg0W++jGgmGTcWBPkf6RKPER5ODFMQsamDQI48rZ58X42haUJiZO86hi8OAUANn/mLrTY1CNa042
b0Q9sqJt8TNR0+ZejTyoZ+gKAA4w/A16CYEgFq9CsS94NZ/0anyKzRy+n78qfWc3WfJNmnulh91s
x1+Gpo/hfwd/8usXIP2f8z+0/7hMdnVa2bbpLB4a7S9muIw4DKMeOXcrYtghlOiTJ3z0T74zXKjW
Tsp4KllHDaL0/skf9J+98t9REI6D2Ybdg2GZqkmp/a+0BNfs28weRbb3A+1KS4acLAIDEhBTjC8s
dGREOCx0BsUlDJql0v/j5dntFP8MjOflcSE5gneg6q5Q/3r5XogBTk6RE8TLIp6xJgubrVIWO1d9
jLX+0TbkW50fmuFBWnhRTEY1FrZhNH7tQP/vv8Df5PrljQBlsFm0ufP//6vtKIDPiM3Tz+hm9E/W
0D1arEwS5eSw5x0LFgZJ8yhoozskgrWo5bOkfcxGaAcas0/CgtUlPzYzwU6//Ndf0bxH+49fkQtX
XxAooJES86/vrIAKNEVkHO/dli2Ump2M0HhQauoMQz8TuCybhJz2fTm8i5r1eTJ+sBJ7CuorEog3
1R0+jJABYFkeOtZ0DXa6rbxgG7g1TF1oStb2yDKEtR0I550oh928BLHdfhejMA05AeZVukpB20mG
xzSMjk6qXicDIBC/RU/lmZo3heDuMSKvTzNfE0fdlkx+vkMFvh13lQPnbez3CSGTNOpZw5JM2KFv
sKutil6xNCpEhwEo8fEj/nf2zqM3di29on/F8JwNhsM08KSKlaNKUkm6E0KROfMw/XovXruB9uvn
1/DcPXhAA1epSB5+Ye+1J5RjgzijNFjaRn11iDckGOOnciXfPn6v2RTxDlvqwmbSyF0DuBMNbEr/
lxUDERh99xTWDCD/+ir82e0hNIDDmqWppv47dOQfQkV0FG8ZqcT5NtSbtSjUq3TTfZZ+/K6sh7vW
1ru//oHaP0VIzHckWOG5a3dAIP/RCOf2mkNvypMZWOOhSePHGOlzbNzjor81vPhIAU7ex4FDbZrX
WbJ7ot3dVyLbG9T1aWfutOkxbPJdXiAy6G6uyzRSzy+GPd8Mc5x12o1Xoydo0dEvDZy51iFEKWeg
JXl19Plx4jyUlGLz9+0dCLAw8TtrKyhA564g5U5wQ+Sd+nBw2b+N9nTv6KoyE09GjDEsg3qoLUnS
3NDfb1AUn/KoW0fNhxP2lClEn7sWiQ0DoaS6XW6jESLR0LPejDVEcqLE6AQdXC+RzhGNVTv+yXfm
QFo/+dRayaaqe9LRexFZe8mT4d7bUMsiuexowajAjVcdqzMN0So1jbeadpS8+/e5aG3LfkO8yzkb
m5dajp+Qr55EHtGyh7eq3kHZJz141/EZs9Y6sTo6hY541QmT6Lt9JkYwizEyypJ9r+k5gVyPZfpO
Ktne1r3WuLJ034ajiQVpPHSt82p12nVu96hYDuNK4XE17f/qkwprq8uJYzfcV/nDoPPS4u/AgnN2
reDcA3bUyJK0te4AV+rTdwRpQYwJ/vpO+4PhkhEN9xkYbVtTHRui9h+O4MlWigp9RU7IGFEFtHQD
l127w4t9mf/k3Cq3+b84bf/s1DdVSk6H7F3XnLHf/xiRURMKYqdMR7dmQkPW0JgW//qV+iePrG2x
zMGuSpqAPttZ//GHROFsW1KRXgiHfLDeJAAVRf5TPSSbikBsm1HQQ6JWt2miNsDhP2gsY8LkZ66y
a3cCTGytIsNduaY2T1q2rqKfE9qeThevNgchAD1yZfga5HRw5j4cix9TdcmJICGIRDM+luMsG+4y
QLEVc1TXdYLtblrNuQINsGRsHjeD6y/95F13x0PbtocCitrcl9nGdA9dcU5KgTKdkpz1pmnfpn7Y
mjQ68y9pUocglz6PhvVUMLSwSHRzymc2mBSLjKexlBnxye3lk2abr0E2HBwrPuW1cQr1YKU042Fu
m8BZndTJxk1aH7k9DhOxTT6jj4Z5gU7k1YLp3mLoiheNzA5YgGjCB0ovVY9+TF4XykhPEiWnboBX
pLusrJO9kxos/8R2/nFqzUHTxeZrbsmnrKlXSWW/Yr1azk3JHLim8Lv4fv80n+CCfu2vb24yZ/75
9cktRl4EXZEqhPkHTHsOv3Yoxox1ZMrrk6yrZVHFNbtB+qaavAkC5dVDwcJ4qYVcI2WI2GDjrBmU
R91dpuRkdOeaNq+jNZTCOkvhIOe8mwXmDjr0uXXrumuTDbdQCY7gJ49ksL25kCtRLDOSUxFJRC+j
k7zHpEPyyuIj7XO5E4gmkSH+5KZcSJ0zr2IE0PHkU43ORYWskTX45nk+Vaup+0ThP+s4DpHfkxxD
scRhhgnpJEp+0ujsFbJUENJvNIYLTO98Zbi5TnfTpPSkOayz4tfcpNpEvdTKsDGndl0yHGkMuclM
qh3mL1Y53KsQFrX4NfSCZWm/masxP4GYTDPHjv+cQwfXSOKsm1vW9Z+jHDZzEWQ288jCeHWRXFlg
xnHKbXCf3XHsorYLeCQM/6FkRNc6H4mJZKtsW++vL/SfnGIUbvP/NKCfuvaHywwt1U7bnq1z7+Re
A0oPCh9zzb7fzDe50Q5XYe39MvgX9xeQ5n++vxzKZ97QmqbjsvnD8VkJAwWnkPkWYNQ9q9PT/J5z
GsDKctWrXIw0O/l9683zsyTuPN8QMLdJixkZvDDhJKVxazQmMgLdy6Gvz0V2wlizVlHOU4tp1ofF
IEUU9WKulxwGpfZwnacbeeK8dm6znoEx85HRRyepKJumszYIb+2efih1qcKy8TPwrXOoG/iZJW1f
vSDF/WRm6n0+d2NuuhgUcUBSdo2gG4RXE2en0ZUeRsFbQNFDPVFUEwZBXkY5VzMWR6uf4wCTU46K
B/PZbUjHA1kxyIt5hgMjeZ//ZmNS75Om3uNJPVWS65J8KHZKViRtH1+bRAhJ7XqlE5M61Ol+LnTs
QT203PYNnSsEdlml5xatk+m/Mg/kie2c13lCEXQqIL6Q160A05j9zOMQp0NhSmX+VVTupsuGk4ZF
XUN0ksZ4C7KTJag6xmn6BLRm+JxEibIEh6pEw3lqeSrnso40yPdJZafQj5eAjBtOP9QOYaUtJtas
De0uvtb9iA0vdNRTmTKJje2zHJJ3OdrneWqtMa+bp00QPNbKKFbzEI7e63P+o0kWfdIT7VopEdpy
pmmxvM1v+Ihno+/MMyDF6/z/S308qEgQGBfVMjrljJM7BARhQ4TjrMmMkmZZ+LAR21Rs59N3nqyh
oX0SbXfRkK3NTewon5yx/9SK+BFt8UKT6qOyn09dBCsn1Y9PEI03mKzfRRSftFzSbIbvQvBbKSYn
NNPXjDC10Y9NvMsHEBCv86SNbMd1zdObqyZRT0zgU14fVJdl+BhXFqmdfK90vKOlfI2DcEXO+kpL
ps8u5FVHNdHlQAe7eB+6zBFdLNrWhKgS72qwnmdtbZsyXqxWQUH6W7IvyxFUADc8S4+5jIx4DQ89
nyenl2AqAEAe8RANGBoEN209ZohLbO27+eWTi5YO0iTzEyJk8KkqzPXnG26evsa8VMuB3qGpmNYM
GSsIxguN3d1T6KUoe3iTVhz+U4e8n6kzx/E8J5xK//uvTy3NsP/s+LBhAKvEnQhUxv+zSklHAxGq
IJ2usUfAuHyQU78z/GfmXAw8JJCouRl1ZHZkjMmOhoROHqR59jzfWE3oQlRo6QFaDF64+NNbmpi/
j+3f38DWP6qYAreOfgoX+q+DH9Uczry8H12AGqrlBIhYkvrIPKhfNVBacfmrALCHCM6D6Hjn5LUi
VmraLtxBjlujKjPUZvKaEeC1CTDSqWZJyexMp7yIXrV5imRNPCaDldVrTa/ey9oNgYcDX7YZatQF
s9C2YLapGmW/OOczjc4iFmTQEZ6ib3WZcuO9v7sVLWL3o9ZGiWI9+5nPl3BCjBnHgAdVdCrW2RLt
YaVzOM1nzmOgqGf8MIuiDt9V6IlO198NdbgNMekiJSQvjWj3ejW/w1MInr4BXsNqvaqn1JvfuzI9
udyR8/PX2O6jZjx27DXSWL3O320ukwJ9bo0J4rootb0q2AnMd0Vii/P8TVzm/TXj5XkyoLBOSPRh
P3caoumetASGRjF+ohpcSeb22Yje0NXW27qkCirkTSXOwFY9bexBgEPpybGxVM1P2sonw0J5ygPd
2n8v/f8/o+hfgHRIBZ1HcP97RtHjnBn0b0umCWmU/w+czn9/6d83787fTL4V23gERubvJfp/L94d
428GMBzaTOZ6ju7MBcnfaTrm33TVJDRIJ0lMgL7gmW/mH/gf/26wladSNTkQoOrohhD/l/W7bvxz
apptEoMkmBqplqEZf5yvyTl1ro6jYsuDF+AD7GxuNApxoTtLe44375obJw0WKYAOXig088hatcOU
sJCm5WwuNmFka+H42Rnji48fhkwKBHqFou0NFmaeCH1/5Y/nEdrdFk3SZxyzN+GwjT1rUFjvAGNc
RPNGqreGwgvOTsYow03UFRMI43n0U8fLBkNZa5Mki9ZqV+aYGJsWz4RnBo6zTKESrgWeIzwx2O5U
m6Ekkc3xVi94I5dEuaB3Mw90mfT8FU+dBuGOX3RBYFSxAsKX7wofSuswDF6t9oSn1YFLak8EEUy4
a3Ze7ErpuBucFU1Tpo8cUzWvPsPasu7fRpCwvSrSyE0ekNlXvbPL0OZt9HB4ZmI4g/bj+qiYGzk4
0aGkh1+Obt+8KcYwoJI0NgRTuni2InH225lvw/2yt/r8q05YTeQsOr2u0MlYSCQxBdpQLEicJPAz
al7TIjqOnRLeWwIw4jiaRQ+VwbbO3encVfjKbW1PzMJHjYRw6RDztNOCnR1pJtkIjYAgXu1yHYFp
noXZMUCpLfEWgTdBz+WvmJaN7xMOucx4NmmgDgaRRKvY728GhtftlPLqgajjoBlaBJ0dMavJbn4L
wSJRGnEBeZLtGjdAiRiCTPIDWz2YUjkQq5buiQaOznHnwmh2y2eCBtq1IcfKm6LQPKZlgbgvRH+P
pYuklxFLF9IHg3iOOhdQVQrtJS+n6qjW9n2ACLo0TEZFo6/atz4BLNopxRLBwQjVzELgLrt4NfZw
GwgoxBjrm3cfnWCLAA3nQHBD6GSsqzReOlUZrqqMEEZU7MTVVbzl9ChBWW4xvk2Asgyt+VCDsrvx
gXoMvJmIoJArSUBYNi4yFSVFLpt2seVNJXCeJCkAgCSBgb/zS+PPXTBWtq8C+R5BS29lppXvI569
Y+p3+YPSzf5xtemWSF8tFjtMk2KmRHlJhGthpxcbx8IKk27AfW/B2qnGUxba6O26J3S85SEcspuT
66tIto/ChWAyEk/phEF4KDXr6Da+sY+U3txWtgH1qIR5oBPwpeUBuQZVfYwGXh9GK4xdOBE2n1Zy
1TpIJYamrRe2KZtDq0wP5FMRie4m1WH6itlq7+1IpR/Nskd05IQPRuNDEfhfmSRnT2ecz3UlqQXX
a74OK5fqOLOihRaxBK167GlCHzylzPutQuN+IHlMU34RpPlURXV1SXw6B6JYuVBhLx1vjJ2j4qIU
Lea0Q7Zp7j6pk2c1E0vFdN3jmOYECOFNdwx5GfQhveSb4IxS9VBYQ3wYDEfBhIscVsT6XmoOoxul
6TYoTPu1WRR7fyjlJunYOzWDXl96YiTdtlq7Rh4+1fodCwbyVIxYuaqRVhsQ3Bm76IY1xb76hfXE
EWRf+16CyjKIpcj9ZhkVWbFiaG4dZxNr1pXGypUS/xH5dJu4QvvsJARTaFZ1HoLIPhYtpuLUIfSa
vPCYHkgqJ+Gwpiqrnrx6K/QcFpbLPpDGijIYRXnpRnw++i/2AmIJX8LdqKH8aliNBdAWNkqQJtvY
YLDRivrblqxNB1ycXstidtXHTnb18IM6h75WntPY18HjJ+0yK4sISjry/2IkOSkMlOvESmUFPX6G
+jg/wvXvtRFmaHFzYxEpltgUL/Ado/PoEPcZV77P7z1c+Ghx1I7Zrcq/M2qV51pqs8IeQyuNpyrg
vIgc7STu28EhMSqIu11NcMNK8dFvknvCihTBM04YtOxOm3r2+O2XZLc2lT0sQDxO67apXmKT4IOo
qwmH4N+4BH3VSV0tHBtfHZrQ55xkZA++sL1oCH/DkgebWs0/J6fay0JridLoPzONWCE9YbNLdDe+
HiwiJL6viBkBjZNqG2b/qMIxjRPqA2BBawO29eOaSSUPJfIt2nV6LiNBhjVh/AugHq351beDG+7Y
k9tHIZSBbUVI7tW0G2pL3Usbx0w+cXBg4GTDEfQZxzw210kA0miUFxEFz2ODxNwsXWM3us2yHPsP
cyCviDUV4wGryXbGVL3pwcTMPPUf6nrHcqS7oTVhW2kSBy0iTE6aBlS/axb4kExvxEULLit6qENU
AWSQ5eiyjMCTxGfnBP4YPoE4hKK6ay0JyiXsp6UCmGqfai12JuHS56TZPK84OZ05XVo7JsGvzNWt
k8cfE8wr/EhI/CexUjjpNgSooSqrRghzZn7OBO7JNiPuAsc/yaQWbjM7x5xl5rG5GhHuQ0CtIHWL
EX2XwAVp1PgBrHBLiLWGdCHKV3Gfv+OJgALgxrtpSsxFa02mp5sEFYXcYGnFnLGwG3dXlFfLioFw
Zco2G2aiQTBtm0l8jbYdnqY4NPA4mxw+7c+YOdpT3mzVInvVyLRlfhW8zEON3PCDFRZBnIAjPL7C
bC4VcVywAmLcdDMxUJP1m2Ml1bZKYVS7JdlNvkkbYje2tXHtKXvU9HaX+AouZs7v2fFD2C5/gIFC
64Gc6FWcK9ErrLh4aPyto+OI1ZnGr0U++HsQ1O1L0qFwjoaHJtfC107XkCvgQyhjaT45ZOlyLDHj
C1sUxMFXKLpmaSUJe/iIfZtLBYN/slC3SWUVXtLK9FFEPZlWKTbLSuXMUysjW8Zh478O1vhLH9v2
rLGr9Nz4aAW6eO9Udni9TSh7a2lnp0LkF2J/XjRWa7+TRfzql/47BLV+p4pMPOUSZkER4BUO60k8
dXaN2gFaIt78bk2kcHAzWR4u6jAE+jGm2qqNQB4ym2SoaQ43kXXdyejq3NMnpdxaKC0nP/xGgo06
3arjR4gHEmmWpgEUNMxL3PN5mKKw1i7jaDrQcFcmvfgpgpijMT0CSftmGHO0Q7vcYaekw8UMgHkw
AGtMbhlOKX9TY2beKwj27VG2Ryu/JVndL6qw3LsoNp7clpvYZDzzOYAKxz6ATBEcC566ZodPh9TN
4pGPih0XQfQ72bIGsPwJUmBaBwcHuVsU2NYyrhzJRTGRo2mVZw5R+GTF17nOIpdsrae+tbFDhBdu
Vj3z7l0TeZHs7CpiQksMvSwbgIY7v6idX47P0L3BsPCI3sJYoaPIT9E8QQoD8H0pTh3GxzivgnAp
2kLxytyYPGW+cZBDEMVcBApOgczmsTN+4qY3vbAVANhy9Uqk4HJqXkRv1l+GdN98vYxe1dB3lh1+
kmsfCy+ZzJ5kAhrzoLgPzhw9hKJnqSpmtGqyuEDWNoVv/jU3opNv98N3QJxnKMLpbWyMR8U2Pxo3
L24Qz/D0yhPnESeIY+C0FhWDQye6aNyWi0H27cbqid3CJcMQGmv60i1XxaTV337LdbTx7lycThwI
JlXQGv0YvgwPFcIyL1YJ9FQszJNDw/RQsxN8VIpAncuQHZuSH10t4WUELd4dKfbUcRDtnFK9FL4S
7rDuf5VOknhNr43EoQ0vFTqQqiRZxB0n9y3p6pNf8evHtq1uTbzDQyTu5Lm0S1vVfxAIkSmVO/gD
pSr3RpTka9oErIDDIrF0eWCOgyhotvroenT/TZCi9cDAUZBXbs5f8/sLe1HLfSgyxDkZ/5YK/bHE
f4gEOWF/s8HZwYBeDe+5WthL0Q1fcCnhR2IT5QxskWw5/t0Czrig8OjI6cTR9vs/nM+7UC0flFZX
vSKdGLdFO7yOzlpHhFwQxrWhADsNumT1UgI1+80x+v0fhLTDPur6N62omIjiiEWgZ7o8G8JejvWq
s4p+nwREYKWdTk4fGTgYnoLJU+0WRnc9w5AhbiLkLEuDMXP8osEHXcu2OiuNHW00c8iXYRJgj9JL
2MeNPAS2bJZmKBo6zsr6L2IiUWTjvqe2XCHDnctmEpgqMMQZaiEYp/j4Or99qoYx9honoqebApKq
U2JfQMAQJB8+kGJnIdGTDgqp21TZt6IDOhd+WEmXHNuvEEEi/UN8yUxpkgzbu8StYOce0mBHoJU4
DqCV8kjdJK2F+K4U4UlTfHJHkhiQkRNf0IWgLAtjaCOxvWDP6Z66Kb0XxMEvhkREt6RPCQwiMVG6
FMhhEt+0zN6UZvXt4uN5VGLy7fuYrPU0Z3wH+xQ6H1HuSq/g7ZhylaGr85rrKGcLtOkbhHKy55Fs
4mYWEjPw6432cYpdd4m97y0eiu1Yd+FWzdNXZPNvImYLUGpHuw8/CNzGhZeJF6U+hQLJV4uhxa80
VBQxL63Ony6yHd/axF1ParNQ+5QYCOwiXmD5e2c+2UKVsGy129GYHJI8Zr3JDM0kMIkY31T3cBMg
m6MrrpnZbfOBNA1JQtDvcCWfdxaBaCblLj3gok6IGZRE9xJ/N/ug1YtA84Wq+Nhlvdgbsnrv4kli
rjZvStNDy1BJ6jH9LEGifCcdD0OrceXZveYyefGN0tq7LRqEQT0Li9Edhf3vb1SAndlWZbKt/Hov
mpIXR2losBjqhWlPL3qQ6Qe/4DkOa4e2sGt9Yv4IATVnYKdMsp4uiPFB6KYH33X1nV9j681YeI4Z
isYqtfbAS9MNO4QLSuJla+bwhcesWtnZHAir8zdhe57QuuidF7k4g9VRPnLwPEQS7GCcUUTCVMWL
ilR+WBk9vrY+u0QCukAwJ1dcyiHWdiVOqz2q6eBQm4G/U9ovBa/zsnZtUpulVGgC67MzAIuIEozc
YwbW4/ffnymapOuZkSOOuRdGZe5B85oINkAdm3y/sgQ6I1CpL9UZ0jnOZ5or+0cxZW+p1V50UOxL
2fejVyjUUdQy6NDBeEF7BJcZsAL2w+CTaqimrg9wT4fmBv3Mcz8QFul2yi33lzHiHc3RklVCXsii
s7MVjL6zOsEQCqYyXvJ6vasWyBLFCk/wh74yJ9UIE8vFWlE3ikqtjGMcawFSkwVLT0CsbBxFV7KX
wbll91HoSW387vO3phqyR13/tib3ng0R8uoEQEFXkYwmCT40RkffpOElG3EWosEDY6EUO5k2nh8O
GuSt9kOrtC37TohYur1pdecaB9ovqXlNLs2dkOpbywxwXzjAdGckZCtlvIWwOflEP4Uxw19De3eZ
SCzMqt20DZh7fJJ0MWM1LAP9u1Qq93SWo+v+0pmUAcmpZll2z2QscIKD1cxEtwb7ZKW3sGtGFWFl
IKBzouVOjP7SDmFI7iKSVBM54hBl8VGn1F+2dRMwn0fKSoAiDIoVtkbCY31oI6b21Q8p4Lh67gGY
jHBfWgdfIbciiiFCEE5RXXr+VWwWz2pJ8hzOgUWVmZPXgAKGB9QNyxQCCxlMcDzsBteywxaOzF1d
en6CUCYpCoMNGvnJc2RfxW29rYnmKslRTvIK3V7xXdHrQsOAr2p3zlJJh0v5HNrtph/Q64f13UVO
i0MmvTYzg6GJfukh0FOV+EKOjWRjZvZz2HKgFYxCJv3Mc72OcW/CQ/0uW24H3agOwq/GJYxjHODE
xSEQ8gZ99Ca4e+yB83cV3XJVWY+VGqfLkEVR4hsgAAUmSVNIDPDDtoOVzn6uOeu8SxYZbZxtmSul
xehjm7wXCmoWA9YQ/Uckvpw4/GJu6Ibx4wBuapUYBheofk2s5K235hHxTtRcOa0q14KQYNM3H6Bg
MGZllVeEGnIJ9iA5Eayp33tJqOxQQW8DlXTuutoNxZCvEMuB3gczGyO5ALFCdqZq4ZJq1Z2YFdM0
VQc1Vq5lgcq+bC5BPRs5y0cnLKP5hF/H1DcURzeekTYgnCfqvi09iykrrZegg/pk8eEwoqjj8saA
aR/pykfkG9aC3d26RCegOhIWBMc8dJatDzZLq7I1h5qyYJF1rVsLgtjAidsJDDLFy+TW6A7Fdzw1
z5mwIHYM+Bn6ewM/3M2Hz8hPIGXVI0J640MZKraS2bKLo69O1W721Huq2+0w1r91qQY2rWB+RHCX
J0GdET+uLtx++GKji3Gp5fHhOtCokHzM2JQ2YedGVrFAkv9sWOZuLJNdQEYCXJUFG5a3ojKferqA
vojXKYc5IpVt0yFxCAyiM5QN+AYvtAumrugdUUobXFBYEEmpxUtFNb6c0MXioYGzA+LK2Ca9Q83k
d/Sbm00XooIfX7Ts1nB7EqzolB+Mga/hTmSsoo2FUtcno+55saoJLNx+5KESIx4X8s50cfDNEbgt
MZTxkN+Jo8RDq2EvTajLWjJsR8IHR7EjyJc7PJ27GyfbjmIDbeKr9vs30QGvjjXqxyIHOFPml2oq
D4pxhWZD1MU9528vkvbqck8FeIyryPNBGANM58ImpHuZAJFnd3GL2xYzKuSBBmyQBXYSo3pKTmPd
NItaUluHpvKYh3RBfizuifGcYMV3cUdVBV8+MYNuc4i4QT38lNDhIPS7zywPwcs501vo4GAzfWPa
GTEBGUBluKDhT5Mb59aELFAx1ZaOXOmtjD1S0RAMFN8jc7B5FRYheUVJ6ihbS96qKRM7cA4hMw6o
ackI02C+IvLWzHqi1Ol8woTDk580IV15uiboPif/L7rAEKMwZZiTV1G5jhSOXhS3ZM3myC061WBv
3JGo6A8fQRL+yqsSW3J4sMPZ0uszVNGyfumMRFowPEU7RQmzFWXFjlj1SW7H0BJncFaUmrGUKHnq
FAnaS42BI7q88ZyGHrMOMUpHo2RU5RfjUeGx0tMKykpWMZPVzGVjl2KHLJRQ2kxSeGaofvL43QqD
fjeoABcyN4JHUvFwDNj2EY9GCz0yrSOyNmNwFjDxFAbmGQN+G4avQw0k0dd35nOg8Sn3Z8vU3vP0
E6i+8eyEbAhq6I26r8YH7OtYjWyz38VFkAPXUlFnpWxEZVfD5depMTTmkoZYhSShejlR6eTeYgeO
ZcG4XJDMVzH8rNB4unVARLcPXb82y23d1fJsXib5qZaAZvqpcHjLjZSNIeBcZSy8HnDkqKvuQlFu
U4nzvbEZSai2S/o5XIUkd+fFDrvvtECSTvTDhvei2OqDRCdKdiOb/xk34+d3MGPXOgieSjwI5BlG
L0lbM33qxaXj0HI1woYiy72qlQCLhtRVd1jsWjVUDdQWxrLtzBuspXo3hoK2Jek+6jB4asHeLEQT
cO6gaSAipl6pTfPopKSLyta1PZgKyJJpJnct2DBs6DxXcckbomRQv64nnk7HdcFmCJVaxAjdq0BH
YWpUayNUj5b74IjmEEhTq28T7E/8Xs5PHrvZktDqrTVpOYoEaxtWBQje+KUelfIqAgvCC7dhiysR
YhEa7QxBDVDByFXhl+j10i5tZHnMRKhA0k9ZKPqi0J+DxK52iUsTZroZYJlg+tWYmcV9DaOkC+t1
llbPIJ2JJzTRVpsjVL68Lz0l899LOaUMAJHLdAYqq3IEaQIiDEk2/XbV3Zn2S6+X33Ez7gcjg47X
eY2OPHFSrDdh5ZeJaC1CpuEskTocd9Nr3iTRwnLzx8Hml1IfHBsmII4kKl6wveKXbvePTs4Iw9Vg
N5YmA4UA06yST9WarqIC85mVg+UJFuvrOgB4UI9quVCjdSzI6taGZstOfw7XVBaiHbXFSBhr/UhM
1GMEEGdhxzRwKuz9rPexuduPjeFfKAsY/UMSYIxJkl5seDbPuNvoPb1mzDIsYaDAHuI21iLBdMss
vVEJZ+EfJyL4ycYvE029rfo6ICHWfkZU3vQIwwuZBoHYZGN8LrP6V9233LHpm0m5aw3DMQqDJfPf
ZamUI8MwO+JU7q7J3BsY6K1wPrbZizWwOQT2Q82lVt9z8icqbLoUxl3GJlHlgz70L2wXcfIYKBJs
hDbyZ+Ij6Uzx7QwpgQ4l36UPthn3XmS8G8j79ST7yjRvCNyHYrSGpaaXS9vtj7pqsX3121XWWQ81
Jr+pSZZukKxsK0D42fxq7GRVF82dKk+sI+kghrJPihV7ASRPd0GQ+lMn29fS9Pfz96pNNGOFOFCx
bnDKVm6NjWFeOQ17jXdrJPqNH+WHILtUdv7q6uO1V60b1gev9TfW1L3qun3kSrpQPfQRplzsew0B
1CLi9DHwNWkbnSMSZg1qjMJcpRxSdTv3J+qENmSi1SlHkBsclVEGb3ScSLrOXwmpX7ZG7A12d8ys
8mD0xXMqnvjU8FsSoayi22AfUg/uxezlZb5eEiRonMUXfuRZTdB8WQ9+2/zqS6ZaU0zgOfw/BkfI
qGYQruJv/b7fGmMUI0OuebUgJF8IZuulUQMhGqsHK5UvlVPzcTe8AfSbbjkLpQWKY01XC6h+bRRr
1tlvsWk0iyKuHhr3IddmW064q51xbYXpJqcsXvSVeY+kvsZTsvdlfsJuCA4lUWAHA+l1+wdcogPz
QbgbRQgLLE3j+6AMX2wVl2nWtMuyDa6GTG6qg80YQ/p2aLE9pewNSKMlZ4eo4LITl0pHtSXDryJl
4RpWJZnF0Z3ZMwJXrf7tzsCvruoX6+yLXwy2DunYIXLEi+V28ZZI8U3e69uCLjmbvJ7jUchrYA2r
lntE0cZTJLRNFIc7GYdPekzhrRjrqR03SVNufV9ZYzNf+qhjnJIM4HJgqwRy3yGtODXlo88QuAVe
xLG7GQSMTA7Fo15EqyzKH+cbv1VwKadMPXinFd2ZoGVQeZVXG/YrMSKHWnHPaKlWTes8s2h/xZ3l
ga460GFzXFXqi4ZTYaGOP7mBiGrImoeRR36hWQEXp+uVZa/lB0qPY9WJna7Wm6zRUEf6TzrTh5L6
pcj08xBFMELLd9bXb83gbDWkT4uQZHO7/8xFDiXRPQpl8moKFwTbe6dVPiat+ZKZeB5155lcE7qu
1PrKW+tpTCwiAvWd1VZ39pi/JmpF6f9STf8BsuJPUoXPeZ6sEzN5YOe867OJzDIWregr3Dy+qEB9
iwpDt/RYUq0jN/3QVfbAlvGY48GN0EAzhtlCRcPW/V4r6q1Om7eMp17Jy6MM41e97N/6FtpRQPBD
BwkTgut1YgVrFOy+Ax2eU8ILiARAAoKwe8ce7xiC04Nn3dCuBdfEcJyvmQJZEUEeNvWmALHFJs3i
/Vlp2TUentgvffujc64C/dykya+0ZBlnx9s0DI7RNJwdwHyGkp8mQxzQjn1HOCbrpDv8J3vnsRw5
0mXpJ0IZhDuE2dgsQitqMpPkBpYSWms8/XwOZhczs2r+bOt1b2CICEYwAtL93nO+I7Xu2eKksokg
sCcj20T0TBP9Lm2iF/hnp7Q2qecxwe24mHCCfZSavBCmsQGEuyod1GhReR063sHqaabo7XBjzeXN
YJJyOFvXWoYXGfABhwJIg+TSGcMjxaWHmnvKaqYjUhgAlCZiDgoOba6e0tAVhevkg6nrSuZP9wjw
tBWEyYxSpN21Z0C8zL7qepuekOffyMmEAwUkmIn2FK7VweKb2a0fQBGodyEA0VVE/YrrDIlzTgPc
z88pWoET8jNrQj1R7golxQ9uRJ8evDZ/hA2y7S2gwIW0kORV21Yvb9J22nbOgxUPR8i0iBOo8Afm
s5xyCz4DJSBnenBsVY0ZOipp9c3ci6t4Mm/BjX22xvAQ1OU+zOaLTxe1mRXgrXnNuui+yB69MPRx
wzuI4V99bzqOkAQKraSTYpgwh5J7n8Du8Wkwqk8DNou6uQxN8xyK6cWB6JUl3ofQ5ZTLxSoVTftl
MqMrQRWctsi+1Au6mCbDKasujmNrbiItOCSOk9Eao7OBLgYC0nnwqMVlNKOT4ioO572fMEbiirG1
LXbTAM/Iwdm9QnNjbjsjR4utlfAIHogcx63uGE90t648sHSoA07McQ6RSD+IntN+mAM+fT7rlB8A
Gx5yo+bwo/AkxS1j3m8Tr/t4YD1v2o3GjV1lj0Va7wPrbpyjj6CpH2wpwTgxVNc7yuXgH0vgmnG5
07SQAjX4YdsQ39X/TSb7Tre8c1iFVyEQl1VtItVR/zATxgM0t2gDs+oyBt29F5In2nCkhNGTmZm7
ti8+OOvamK+kQQKUP8IIbMJ+n0oXOjv9Z/VHY1Z97JyA6V70zWxCLAsZ/hKzvOvCHXFfQJfTIn9w
kZSIbt4kmfeZbA/Ampa812cMwrCEZyZwWP9jKsNA3ht7/qAoULFsdqXW7BvwWragKEJEU0JXvgSK
YlJgbhIN3kdWrJKJ2wE5P7XT33i+TZlQHP2huZk052oKrGMAtzxGCyqe+44i9vTYg6Ubowmeb3cj
opdAlTKH4ls8uJ+pth5tcLGKnWUHzucKBphtHgI//eYL98oP4btOdnV09eYTSWf3fhZvhy48ujkV
nM7C60krR2vSzTRziSyzZE8Jb43Y+zWnm7aRdMjTtDgZycCmTDqxnblrrZ3c0TYObdV13MLT75EN
0IHK16B9Gdtm5ou6ZAbN+AygKl/T/YEJ29zYbos1PNarE05gD0S1j2riSk4hLpO+P+Xam/Prf+Wf
/w35J5rLP8k/N5+Sov2H+JM3/hB/evZfQrjI8TDQSSls5dD8of40dPEX/jbXEqoxZtoSO/F/gZfk
X8CQdBpCrgnw0LHwpf1QfwrzL+FKqs+25RkUk3nX//0/v1iYm98e/2IqtxzlPfnJXa17fIap6wam
VU9JTpX4/CfXqgcTswVxqZ1jEsugI/rlNuccWXc4LhB+JccGjwNHd/PMjJVU8Mk/IVF4njPtNp18
h4Y21PSYRCLRA7ww+xn+zIGQhikV3MOD4TboNqkTzXDdyQmtXZUNjo3eymlG44DbFQpCaMSUqz05
rToPemiR3Tc2t+K52QcoCigsEbgw5vuqcm8NdXaAfpVHqzYY2XW+qj6/6GDVQEg90b+4HiBiMNxj
iCe4TGbTWeSMiuCcY6W5yMTAHRo6V6TlWWvyTO+LNvpsxTOhhtzKNHtV6c19Qv9nRfSasy27EOyt
LCiBptvUHOXFYEbbcNN3M1wfvZZ/Jwp1r4vxDPs8L+FsNt1tNyJwNdMGg6hbb3xYgiF/HKVRiQhL
PJFZxvw3+aA5FBcBxSHgBzaXDA3CRmp7SUdP0AvML7MhYC4MKFYr875K0avb8oHgIoAXpfKNdd7G
rbXXFrNfWeWfWpRSbbZppvhoxHW9Ni1ChJJi3mpj/WToCNn1gckZNxCJIHJtRwPcLPtKc5x2ZYwf
9Li/6gsoTRpGGJnxcxO2QsNsHc1Nf4vepViXJlPcMgoPiX60KQq3lMXdGaGw0SWXmbHv2iVuaKWZ
0SemHP1KmyLKfm7C+P82CeQN3dYH0QU7m8/YJYpE0kVRvRloQpsWCP+gD5JVDDrEV3EMkRw/11ly
0UjhYAibRjtYDcDlSvuLjtdlKNPh1LIRprIY76cRBezUJ1vvs5tEZ62s9XXZ+Y9ynG+hjqxNP8I+
EPVHqRMS4Y6VczREwpAgAatrANAK0/Cpswb3ENbtVVKSLFniHi5cOD1h2h2MWSa73mFkL5tm17Az
V30D23WKjY9ZOlob21r6NMnFxj24M+p1KVDrkEh+kE14bfVGyciGW1XY58+ZWz4nKE/IdvwgnORj
mZTpGoVPv0L18yHJ8y9TD8MlvzKzZOcm9H0qMZvMHBxEXeOubIuHYrDv58w9FiEE06kcTnWgbxo7
6yhZ+7c2mGczv3ZA42wM+qSzU4ywcg5y9hhwWHW31bmlWkVybkeFZGotUE5/Lxo7EpsiV4BuN/AU
PS3nhB6mZ5qU8KnokbrtN1pOaBlcKGVzilB2qrKnsmQXIV3d0u6D8i5eKlUAakN0Zzmylk2Zomfu
rbu07UFK6RozLkrnVV/HG6igG69mlCtbGlG4P9FMIGDFsD2/rb0/p1VMSmmLqPSrZdGp4MdlbYmA
VBfj7Sjc5x8v0kHn6MnQIXfifV2bS7nJQM/9eO2nj8u4F4sS6Gtpgn4Zh9Y4cGC+PUpqNtPWiOjF
W6aCvo0+TZIqc6BFytZbCwZLJ7eLvjg609Syw25yaAKkPROl4IykGifyoZ7EarRPK5A4R5U4Gczk
Ly5rg1XeTlNCjfzvp5bn49q8jkaSUt//nrnMj3dO3Es2s8yylVYQWG+6ZLWV1rzPZsfc15FJuvny
nK5eWP5kWeSBL48BXVT1pvd3Ln9FRj3vigrqJ0BBaPTwzrdPapfPW57oo/g+8HoshzVHt+yLh6aj
V5DkkXgcMu08TftyANfGtN+h78HlxrVeKJv4M70Zr4rcfVU41a2hBodDO4ozuq99V7XxmeiBRxh1
9VVnhubBNvLrJbwLkUhAuyaPjjBHcoZd6JvmT2hS71FpU0elTEhdbGdlysNUQcjPCCgdp/6RqLpi
m/eFvfKdWUNWlrqn2jGrgxkUT42S20JuB25TInmOS2ebRvG2DdtzN1P3oezgToTT+fMzA3amf9rL
bLkwsLV63o9j3F4XSXNMTL04lXPzqWoM56DhejxkU/FZjBYlOlmFh7Dp3afI88GIOskBxZu9LYnT
JR42eKmm7lseds29rYiHJhhPi+6ro2HumfMuOs1Fftv5IxRbOPWU95JtNoX3WRz6O62xsYqGtiIx
6899y6QlCSoXWBg33MboNuHXriRswQzvao6u3QDxBlVv1ZyMHHHMlHfVxg/aZEMpkdMYy1UfoAoX
YxXubfTYS8pcLDnFSJCv8Mqr887t17FKq4TFoGeHRb60LBDX3/Q97X9GE9lpXMIX25bg4K0rVIWp
x34nltx2x+mNYxqf7NFTVQaS0E9zF9lo4jxEQiqZcFn4JcdmvKS/vz+eSt3cl2BDwpG+0nrJA1wW
OJDdvqRPSQaprZLsiRWBAk3ieEkb5kTPpjrVf68tz70/dFSAuUoy1x0+w1Iy8mkJOp+IPI8YK+AP
d3xKTKCil1eFykiPTPhOWRup4HSjWZX5FB1TFbK3LCSJR6jx1OMlfs+15Efb7t3tpOJQJaMCc0lr
V+HtFAHaE/0TdszfDzGcZ8o50aM7t3ua5Com822ViV0NQYvH2kBAa0x4vFhi5G2m97FKll/CF0H7
wi5LCX86DETQt0p+RUYHBKaYfPplv86ZujiGahfLkmiXSkXaq70cEnLPFi4Pvcq9f9/Lv+WQLi+k
U/INSQKCmL9jSJcAzuVAWNbeFzPWjHVbAstf9vsSvrksloDS5bkycxi9+LUd7DK7elr2vTBmdALL
qsG4gXKJ1jzTAJdbNHjlUY8+N4hOTr7uI1AMchqpy3ZUm2hWixbjxrbLadQsD5fFsr2DuDH2cmyx
xOv16X2h6Wzi94fL2vLcbL9URdwe3XagdbRs0+VwW9bQjdqotTAmLcfb++L9GHw/EIFcHHVOrH2v
6Yqgnbo3SU5ioquyCpfFEpkol5za5fEQqTCAqPo2qEDFt333do5Cfqdfr3ZcBFfgYCYYh/7ecU6g
kez0b/sQiScjePJElx1E3oIDknFZvq3LuPzixEDGlh3zvouWPfbbcw6BRGTs5lTU1Cm8nL1v4aLL
vlseL6+QggpvmEarodIm307eumELLI+b2FF0DORAR4Z9qyhHTrVaTpnlVApVoPCy9v6cERiYgE26
3gFBwFhdlAt2LZ0GAJ4xIPCqNS4H6rW3P1DPFQE82V6Sv0GbpDnhiCCx9u+1357T6irYYDEWK+G6
JK1GzBx2ThpR2QWudvaIVzCXC0fPTGdZgxdFKolXvy670Fh8KWq3Lg8z4XODXfZoGeX2oYm1t1Nw
OSWLJgz1bRAYjF1k4m5pMwaH2nDZNW/X2WtPefqXdct2LKpLMT0rrcq57lHrMRoSYJfT1KZa+ONN
qNvukNyDZlS5i3lFpvpqOVuXhe9yz1/VFY72pKM3vyQEe1Lw7mVP//QYPCdN1RSkNroYjrm3PayC
ZEu11/XlyaxvNbSR8e63kNblofw7TnbZ9ctzPiFDfl55h/fLZerPSECXK+fbKp//knsB1oykETtP
3WQy9WPsKUF45i4/YVwCJN9eI26F5B/1F6PB+OiwrC4vMQ778d7lYWDqSAygXn3uyzIMP/ttku0D
9ZN6HHenZe198W/P5RpWm9X730BTYdP820eMzFW2kIS/Lx+TLu8jtgQDvRXtf3rbv733t+eScMZq
1lgcjuq7Lq/qqfPJGTBrL4+KsV3bDWk4Rt1+NQZ1O8oNTh8Cfn4s+oa70/tzA8Yvxou6ttPpDO7H
IT1nWpftLVvti+VtwUReOfVEPmZ58/Lkbx+zPPzpPd7kbGVsgf/nx4e19dEITarL6n+/fdzb3/Yl
TMOVy9YwrD7ZL68vC1t937dX+1ms9IwDRRMllwlKowx3DZ20JiThw7Gxy2nbkzBQH3ojoZYPWPoU
hYAFzTzfz+ochbBZnsbl5l5aMVcd/ObAaR8KNTbQYkYJ1TJKIJWUXehnz7UOO8Uv+vyEx8LfueVA
0yZQFzgT/VAW+fll0vx6xUUmP6Gp+bFYHrrLlXd5km69weWC7nCk7rZvi+WyvayWrcUh5E7tHWZd
aB1W9zUTJfQLdelYfG2Oun4sD8VyR4jzJ9cBJ43csCD4iSsPTo2czeaj8+O3LE8tP2hZBLFhw71I
960nx/LQqMEAEZ/1KVK3RviRIRBmboGBGlto3BiUHJZVRHFQJcd8Ir874toXqlEKbq+GZFrWmjYL
Tx0HorqAylR/kYA5tl0luRCrxbJmkFaNZ7U7tOrSO6o/XdZqW1BvJo27UxfnSF3ak8HkEDTUFXt5
PAgyyxB/4GSQenGI1HAKJBoKP1MKrpL+c9vPw7wmJpo74sjh8LZGZDsJnohmrRnfqvqdgBzr07KG
cQMB3NxdxZWklm+qJgYnkPrhy8Lu6HLlPuidUg0qqOTyu3U1oCiYy2P8CLUZB6KfEUDKNG4ItV1I
BXBPIlKAGlmdjZMW3FayGHfLgeMZZFoi2+Z6uqz6CEhVt+9SecF8nCXRtzr1rGm9rHZLii41732O
iNRSN/VB3cuXNfYR94X3JwkI1zZdXSGDUT/ifZG5sbOfG4ci+n89L9UR1AZIUNqGPKhSyHo3atrd
8mm9GlIsa++LQB2pkFM/dlngbpcPSpd717JqjxkbXoBZt+peQiNnMnYmDqI7hHRKpRqDL4tqOdRk
uLFiLHF6orGDlxe0AtmC21affLVrlqPN9TLsYMtjNNOshrhp2LnWJzLoz/mSLr8cfMsC2DhkuSwP
vlPsq7ZwvnQ+Gv/XjIbrWJUkVXvBMJ50XZC1+v6YBu9wSMjO8mHYnOKY1NHCVQ5co0LOxdCTZ6Mo
4svJ/EueV2Qoe1N/AsBCnV09/MdzJNJqGLvX2XDpzby4qZBZX3d+LVYNiJNUp1DUw3SAb7ibM5Km
Wlt76F28F5HuO7vQtO216xX53snRZoGsUQzXOdrWujvfGtk9USrOQRDpkJbVQ9nM7hlJ/+MsfP/Q
RIgDW8t+IWUtvCinc13MEAg7o7ikwaH03SuG2/FVN+nWeTQQtcWQpGHtbxEktaSa4Rx10T5Rzf3g
IjA/Jj0ZiQg572P0L1RhWmvV685pSChUjnHvH2p/vkt82NpV40CAHfpLb9n+YajUaGGQO1y244Y8
3avOYfoxNXF1sB2kK9qArNYbG1ozTXqd+4a2xdCb7wXxqfTM7e6IavpAyiJtuUrCuyFenAwrjVLw
9HGwPGs9OAMpQ7CLVoZGMLeJlesIseWGylZ1rmOkvstal1TfCKrsd7JqgAeHyyA3s7Cmj8BGqHOu
51LJ3TpyBbDSGac8cCS5XygcZSqi6zQlHshgNr4jBRyrOzoVSxSHmC7yIUdRP/cOjSTM3wRruVCm
Yf8TsIBRJteHfZAi1KdHtQ7NWpVBgmYjadqsa2fcTVbQXUxX8c3KjiA+YcaEQUbo41z3ygLQvnNo
ZJNyiKQ8Rmzhlney1B5Tz2r3roNAqKWQmlm02qPibHnmsKXUuu9SeuJ025oVvqhsY43eVvj9V6Jr
8mIi0JzW5abyrUeJ/OPKL6P4IOT0NOomzoYYoNyoPABlOLtkYHavBTRc7EuQ5Gsq61Osf7Ybirh5
/xXFGilLs06F3zvMI1nwlt1d5Y1ANWIpvr+lUwlO4/vKNuo9TjzoYMoMDVxZv2sEN8shTzezTvom
bMVq53KnIP5pXPVtQKStJ8nLKYL1WGEVkRqUAw0duSODclXok7VLsmK+BFPQrWyG/jsLtvGxnM1p
nY0B7VmUwiQigHS0GMJeZi3+phskgXYM+/Aw5KqVWQLxyYory9JiSk3841ICrUwnI7xGQzwxlnUw
klqFu2k7mhmRW31rpRpvWvQ5EyaYmIqLTZc03OzNgLt5S+ijOWb7yGrbQ4C4yMeJvrEKTC8+MYdE
Qnkb2s3DOm/cG1/Pzh7YYghw7UFPy+yYJNXnEvXJujCsH8Sz/+3e/al7Z9uK5fj/7959jJovRc4t
9OfEFOvtXT9ad679F0AUaK7SBD78S2KKZ/7l0tQzIaRbLuzIn1t3zl+6C8zNpa4jzH+07ohXI9Ub
oovuenzD31p1/7l190vjjqgU9KrS0k1h8XEq1+XXxp1p6CE8kNA+L/GSjt+ON+CspMGoV+J6A77d
h9dYqlelQR8cd+a4znWUodQ59yi1r37afP8Gif61j/j2dehi6p4wpO4iNPj161AGMGmZZBISrAmn
oQzLHSjufnJKgAyfvNInXcXNgCf2SGJQ5v0Bj/0r2+/Hv8e9pUP3QwH0O3zXQwDXwM9G0DP6L9zG
uwcJzMRum/w8AP/dDjadsb5sL40kAfUPv11t6vce6vLPOVQ4VkDykH0IkeeXHmodDmHQJYY44wmT
nwp/Svb2ZGE0hFgRUzR/1OLgPGf04pyZ2UX81c5S+vdxdibgut1bTVSvgpA8z2xo5sMfvtyvbOi3
L7c0oCF14MP5nRvODbknhLsW5xSQyjZuqheZYjmpyL0m8CHSVl2DziMQ1DZk7m60KNunXUAIa28+
pIU2HUkkqYbR3f3n77UwqX/baJwNNJ2lDVPcVefrz41nZnlN5uCZPYN5FvugIgKzaYl2zn3vOx26
4Eno8d5COLyJZzFsmrSXpxTj0akgLmaPOSMW5sFqelJcK+j+U+tgCCOKbMBucaODzkfIA8uwfrAK
fPKTI5S4IzLOgz1+tcPavuuKF5vBi2IMHIgNqDZhFBSvdus9abEp7rWkvOUkS648Mq71NjbubB1r
CKzhU+dNd13g40yAReMXWJGixoVQEjsvmm1+1EkDu/znrWX8iihVe9HWOa1s3TUAxAgTHcHPWys2
Qr9LA1/QZSbCKPAbsbEl3IqEzbhqUj9azfQ7oI3Y+DLzGhQogu7/6RcxgMFaBmc6J9RvLMsgtvSU
cGhxltQ+T50eXhGQZt3PuKxKs33AybuX5dRgtxLHts2OeF7Gx/+8MdRv/fXIQfggXCGJbpWQsH7j
eJKgU2tI38S5J2lWMw/Cyec15Lmj8BDNRzE23/JPl7dfEZ5v258rPvhQ/je3hN+OVr2PhdOaBJxi
dT6MqIbRWpoPReDeFn6m7WKPxCOVdmu2Brij2bnSBZXqyrA+1LX8w6lj/vN6Y+sWjWATHCA74nfs
t+tbRj9rhnXGtHMpksG6WF575aYzTrDUu9fd6Yt0tGiT5Q5xttHQ7+Y+v6KMNR+bOY/wzpTGFQIy
TMeTlKfBhQnj2SlUp1weiwk3SlUnPsXt4pLVzbRLCi7eBkGPnG7dm8DoF0nKzxKU3/Bjb1sWqCHa
Ey6ewvz9yPZNw/R9OxHnQUzFOQegeFPX6CLkGGb7MdaJVvDcC6IwbV0xMD+mjeygidmvFkDGe/SD
q6HUh1XZ4bB3Z4fA76Em7acM+2M3WOdemtp1iv/R13Fo2ZlBIkmHIQi5nrNLHYtpk00fXqLp2Mde
U//h8vsru/HHrxNkm3nqcHV+h6slqccEGUDz2UpkdWCAiTBU5+sOeYcvulehp8Wf8hrU8f/7+WHb
louYh2GI+fv5MZZuXdROZZ0j6QHjJ7rptozqW6NkbubJ2tt5mRvuw9Ryz8vCNdfC/ppUcDf/84lq
/Hrv4UavYuWw4AhGKM4/z9QybIu0gplwav1EwxqkP4gURzS+AFJhxwhj5hDru9Il7SkLyB40G0bV
AUg0CChNt/fSYBMEdfCQG339h5u2/PWKqr6b4zIaY9DHKQ2aV51kPwmfymQWps2M7VThoLG11Nka
smWY32eSG4VH66SLER4yJyNqvDlDk9+Ume/eqPtKMKRUjKAxIlixtPMgIwKFx+gAoMLaGV51TpgD
7OtCyXty6QAkRdbJqAwDUeNtR5M3wvUSRN/4zMY7eRnhxlwx+watEtnVYWpd5gzCv0MeSPkJTBVN
LsKJSlJbY1ffj6GuUyMlVjwJs2ifJeOuqgsYpboHrGyOzE0cF1tD672DCEr9djhERlH8iWtsLNF8
70eaZOjrcA/nxCW3z7IZ/f26DXMXcCbx2+JEowKgkLSfVFzwrojw7dt5dkP0N/G0VadvYq0lDpPv
vi7A8azfCi3vhZdKpygcuRLmZwEnCDkyxgnEWGiNzVPUDvGOYddrBk9ujhMy7ZkvrcJytE5TbFuE
6dh346BH+zRBACDoVmywTa2TBGNLTgTgHr8tavA4WGdBj99A1YNDEUx45JF2ziQ3UWxUVcM4y5mz
C9WbWB6PcWpBinbI1KhRrAGoAZDhzzUGHwTZWtr326G0CrAD9PjdqPZOw3jwu2G6zjEawajJzuYQ
5OvWtNsdwwMOoQHFTTVa63lyD1w3oju7tbR9ZQGEi/KPaZlgcA3z+8KVZKbp4UENi+q0f52iEQlO
2DyEJqbDPtTNrVdp47q0bf8GvRp290zctlxDbwYNqDF+03Br6yXTY4OwZNA+l6xxcbbIwMG6mk4r
Z2q8SxvgMyk8ilGNBEYqCOSCWZ4KyI8UgPRMo+JIQAMA2mdHx6oeBV26tvrxU8NN+CFNX+M8foaf
lCIr2xrYXjdOH42XRgwgZAb9Y9EHwbEz5CdAZukW25xJ73UqVoXhF/vGSXPsNDqidmCKJ9LCsMKK
MhJH2V+jyrWvGsxQ81j0ZyyImNg852EIZshOtr9jAt3uPfS4p2menuI8Gi5jbB0oB4VYP+1v+ehC
awy9aps6DcmzBdlcwsA56oRYV3qSl1d6F1FZbcLXJJ9uBPEphDj19w4Q7GawGMi33f3CAvHhb4A2
xyJaKXJlUoSPAkb9XYiuHo0jA48sqzGr2y2U2yrFN5B+BzkT3Gu9/93XTX87yCTb9mHq7TF1M5iV
KTDc4ENSUm2GuruJujy8bsFww/533eehrPH64sqhLXv2Q8LCGKh2a4pvA3XEHuoG0phHgp4VvBKX
kY9ahNxENwv3sgjHa03aayuL5HYucSfZHNZHw8MJ0zqasXXLa7Oac4AAEil2mFuwiDrGMwb7xvIo
SYdm7nIqpcOmCrry7Qivc33bZj5HqseaUfnfvahuzsVcfKV6PWOhmYvbwS2uuZKZyEhnD+G6yt5s
9OnkdTaMhOazxqnx5FsvcU4SYRKZlxmextpiJr0vQ4HoJ++vtC6FVj5VWOyCfUAU+W2LcDGewP3N
Me4zz/4WgdXZyozs70YLjbWX9MUxC+DgkMCNXSoOd/YcB3cTUWLCwtpXE4OLBiv95Dcxcj3bu+6x
iBCeORRES9XO0Tf9T/DsprOKfdZEP1wFnaGj27TcNUJDINJ1Fz0GkiMsj06NEU0fhP9QmxFHRdc5
X9uLnPvwvjAbfVVimF0Lh6C4Jicp1M6yUwope21X34lr0a5S2Xxq0ra6UeE0WTd/xtE/nIjAabYy
sYp9EtXPkU7Xu3I+EhvxCplq0xQyvMFNrlpR8B4m10voVgzrYXAsquv8w7HAxtBWXALnigJA0qWE
ENTTXtfYW3oGKVkRZaiaavGlqLQPNdPhvRwcKpJpQ3XWK75kDCmob0FUMIzylkgh1KtucsmKyAdA
T6fYnPMHfURwZEOi67X5NcT+sSXd2KEQ66THqhfYxvvXOkSZmjV7L2+cNXOjOmhX8bBmk9qXyKWP
0/hXMRXgO8vb5b6LB63tuzVtCEA9A4ylummZhgI8Jd7qELRO8NjRClzJNHuqRTxeNCPxP1RCfKPC
PNFAnxKm0XyTPu9QFpZozTJ78D50XkK6q88VCS0BfO9QB2mH7QfGhFiBkoe74lcfR0ZoK0ME9aHu
uvGS9d4j+e4R51uPV9oQNypBfhSZu6nGBt1tLqfH4DLqPaNrAQjHCfTrqPCS1z6osHPFwc4QzKmz
UR6bptKOfQvK3ce9XQliypvGvdLmq7p34aOoWWLOzHhnti2brK4pTRouIlX0zs56QKLGePFhxhmL
U1FUR4+rEyV3WpX5uDUyVyoi6W3e1mwyM+93WRbhOY6bR8pcDu5IFY2eeK9+Zhf32QzeJ27jYWsP
A05dc7QAshk9AQ/jdtS4OFlzwh3CbL7NE7CSfIBslfsoZTRmQ2AYQYHmyGeZM2xC7Dbbwk5GDhLz
DgkOEDAIcCvPBH5EuQE1jt2ScpWnj442pherAVFbawePmvtm1ZQkiXZzyWyxHG8bl2ghUQY4ucD7
lKb25NWGWPkaHhk0pHI/diXT+KTmnk/INUBYrik2hmY6VrT0dce6MYekWyUYkc1q8J6rZnru06g+
jBn2EdOrXrSKYXYwiRl6U2Zv9SDJNnml+wcssxTH1OTCFUPzdaIdwgUSsB2SaXTJI1WjSuTfcchi
49WkdaGFdddiy7lxGwN3KQ2VHZDTC6Lr+o5x+My/8wJge3KXlnV4ThtRbQKjRlopd6DtgMuFzF+s
aSv12drZRajRQ7fCZkc88hYOnX2E+8DskjKw8LR+H5GLsBuTcq2NAkdoi/kXpSy6xBinpz0ApUL+
xuxfUL8xcIVSU9ZOchzLc9SbVO7nfjhxHdZzpsSeMznMx/thYxfwcQ3PviEmq1r3RRyRRhm2x8km
3MbsUyjn9dfKtKbXCPN4SgZzHU7a1QgtGGxtdw2rAzyEkXjbuveu4wpFYTyXxX7MrRbOPCUvk/Rp
bv4mkQq4STfJxGUxADFKDGs2bvusII6wMWvFA8ACb2X+LrPIF8AxYJirqtLkdvmPcRV2+9JWBBn5
kgbGcIl9T19TyROb2YzlJZzppnHnNS8iPVlZi1A/n8CahUAu/M5Orkbu4MgWGmJ0auSadartuDMa
22H2vjmt+z3EhHlsXPHa5/bXsoyZ7gp9m/txuzE8/XOi+RFTkgwsnNbfkkmP+6oeOf5NoNI1+Rx+
PV90q78mt4aJimhfTM2DZ3PWJo5v0L7fhDRe6dBwduH/wEsV7w1lf/XFl6Icwq3os+eO9OcDCc9c
puEWAF65h+1Jx9iV9qbKw1fbPqti2Bha4R4N98Qs5fuYz8UKttpn1+k+SjwaaI13djR6G7wTAYM4
uaMVglB2bh5GTlmEoXkEEv+1ccsEjx6MwwnURlCN7TH1An9X4yOtpw6lIdwZUdU+0JXmSjNdOrX5
Lu9IDnEf+wEkfz1aHyCYrrBH+ruhnV5BTNi7KByPrkSam0rMqUFffNKz6VNnxEQKG19o6RigD0I9
feinAR014SDQL8Qhqz8AjIWqmYAoi2RjrWv51Uxlvm6SOt3GBtb7DsbPyM4oyIACkIDDsSixYZak
WUw9nMKhaksGxolcW2VDmynW2C3VvMarK9ZhkN/1erWOQDpuaa8QuKsZG7dcJ/oUsXli0F5RsqU1
falGsL6Ax4DfDEG9QXDG6NfeFA3gilQXzWaIiusiFqRD9DvHBEdYj+1DVxIZAWy0P248ZEQbXRDt
0RhNsBJDehu0fbrr5/Fg2BPj3h5Aoh3IbShLJjttg6IB2TDAEYriMkELDE8mC5QbtGwEHdq2Xlej
j3yfHimTPuRmA2NZYE2xF7Ure76pkmuwrC9dor+C73Z3YNLsNcDgtSXzG82p951Pb4r8l2DDTA3n
bOPuvAaWpCuMVVdF35jxHgRAq20tcA/3tfjAjeGWsSgOW5ukTjpeceCUeHCHYSM0586FkbI3UV6B
q6124BXu0xzuBGrYCnVguGOETkMsOWYFmpSOiGgq9gewVmSMM8XAbrDnsvkRJg0YWYWRschZaQPN
gBVqPughV4ss6+jcO8VZQEpZZ1bywKyC2Oim2DqkJa35ovs8wK4K2Zu4wzJCfmGRSNngU0g7J8Ow
CYtHfhtGyT3D0p0dfpj9NDqPEQAooqVCbgQx6JMsxLIRBBfdsKqd1RJT0bt9tWaOf5eVyfX/Y+9M
luNWtiz7K2U5xzVH7xjkJAIRiI5dsJM0gUmUhL4HHM3X10K8m+82le++bAaVVlaTMIqSyCAIuB8/
Z++1Ezlea4pg1g+Yt5bmfSiNpVK1tOkZ++CHJsNIah/TyiNU9rM54uAXY/g6tuZ3s4Z6Zw40zgs3
91twJ36Da9LLdqHuAFCp0KFHFdtP1zvoDYZvZvm45KTAj55m+5m7izQHBkpJf9c2K79QhB5X1bdc
A1YFyaM7ZMb3TI0EQFfK3uRLvnW1ZqfPZXepZISUXv+sDLvdOj0B4xSC2wyDPjjfinDTGoNkPsXv
S9A33b0MbbUNRy/aYph9Mgy+phaiAuKNHLFyV8AlHWxOCgsYX25R+ww90n3hkL0r3adSxR2+F7tY
GQ5gaj/bLaZlQKzTw6wOYWroGzO1AcuiT9mMLteYW1dy/bN7A5E5vhuO48QWuTursE6S0wRLxbfk
SzVBN7Km6WuexGz1eEgKabC7DKa3sbdl31Hn24zlRWsNMJ5cTlzR1XKwG9fEr23CGUFPFzmXtGV3
LXQ7yHL33cSSMzWBilr9YICcdh31tSWhxgCY52WUJ/1p3cIMcMh+1FnkXiX5llOOGYAbvSTtwDRf
EGujDdnJGuMDKQNgN+ufesTyTOAZRa7HcdhGYw3BLmKXw32NwtlzHrV+xpSAhGqhPX1wHdxmkGyu
Y4KWoyvVhRbo+Bx5wPU5WyxIWOgSAXVud7YsId+sFiVd5AdT1zNAlphLQ8/6QsdTnNrQVHvGBaEf
qwGSSSRdWliT2A9aqfk49DKwSe68h4NnBFPV/LBJm79znOqiWIbhaVBowybZC4Vm2RCVg05/Su/5
Oin5uXyUT2V6H0fFoznHC+EB//b5rof2pC2zzqpTJZyohNzoBs/F7Y+3Fw4lMLlchx23Nrt0i/sG
AXun+kDlTXxf430moalS86kJx2O/fg57BZ+b+/h7TCLBoZpaMg4NDa9QJ05uE8NyX1/sv3+EKxs+
fYS9eorkqzk6n6zcVIfBmWg65d3oHUGXX5j58Ed3bC5ZvZJKs23t6cwJSDTf1Ulef8GHWA8oA7Qc
eiFsU46Js8SzBI0OhseaGCS+cCqeCFpcxr1Xw8p0+BXq0S4p6u8dotqNzNJ+24XqSY6wzDj/uBV4
oBoOSbV6tmFK6ee5Y/8WjnviR1LQfQY7mwG5dHdwbPax6lM/Z3jIwllYvuto320C9xYrhvQV0R+z
2WYysBVpGj0MeSwCq4r3fNkHmjLRNlk4zXk65okNU9psn6RIoFo1v3SN+XVOOgckT/qTCDHkuhYc
ZWvtMcYYpbQm9guIMtmWliiN9NZtj521xFepq0tnmPHjgK5MT+K70YKTkawqlc5Rl3WlxKJjsnNH
lLVlap61aLRpiHTiaGNm86ulK2DpefIMVr+/ED+BZ2YoH7olWe7rKK8CNqkJ4QQPT5gm2tUedOLQ
R8PnEG0cOzHZ57xYvs/AIZ6ZXty5Rh9fMNhrh7ZGLjTNoffgDGhLuvZJZJAXWkqLzVLo7rNus5kQ
WKx8Lc6KM/Cih8622ayR5hzSYi4OWTaj6cF2hN4KC+Zc84jGTXQSiZ7C1wPrpkmUWz0iENXFSUAm
Q/UoaJVtJrfaEnrSXcIUWrQxvsMCJJLBEfalK8tnp2ke7CTNLlW7xke5q1MRu6M0eMtlZMiAfXMM
nOaxFJ0LAgsCuB1fs1w2uzFMonfVFfey1uNvVb3vCSXZJGhS/LqxTV8zerXjafkMMDk/wNMnbGJq
tK075+2hcl+BVLK8j9Nyx/fKMx0azMQ+EA1J+5ynx9ywqrMdVx8txLYHi/SQw6IkSQUzu6thT188
5b4thgH/tdWJS1/iOKgLQ+2mKTpVo3miUM2CVloOJxTLOU/lKlaSfmZ50d04PxqL6fI0jtGOkSSs
xNoZtkmnh1smgiPk/Xa+1pT3PVLeM07Xd6MqxDaZcvvgupl2kU357M3Z3gMyspcO+z9hX8WlKuif
RER49JMXvbeAxjVpJCenktcZPvIFwcWrntv6WZ+AzDn06LBhaa9ijqurbppHjtvSrxo0brfDp1E1
0bFXzh2douhxwN+8KfCEIPCJmgBBqbirhRJ3uZXqdwCbqg3zWI/cF7HMWIr55O3fjKWt7uRzuVC9
WU73FFsifh7HrAMa59B/nykBtvj5UcgX/ZNa0WdshfkGfHDV+ENl2Reg0ib4exNubmGVaqMmJgHm
MNIdKaPAhaRRa/gWUtoYSzVvK4Rcu4bjz2EcnRcvNL1D0xaz71btBlLTgtWu8TbSYAbOu2SuZYzi
WBMnaOWhscXdA7Wii6/xon8S06d0DMGRQgRbgQOXTgjF7yAGKltPGrjgEKFmSenJgiU4h+7aFj4V
TyPvlkXOKIjrCqnsZEJCiQNxroq/JyamTHf2Dau8Y5xvbZrELveF5aFMhdEwAKOe5hwFZhZ/mM7q
jNC0eY202A6x4x1kpxknWI3OUURvtQKxe3vhObouVvphaZKVFNsuyy6tlmX1Iw4jPfvbRwRK0MOv
V5NKSd9gk/ZRdRYc+n2PLAMeWHgudLi5KrmkpRkvIKpVrm2pxk6L3iVnpdahHOd+0ijtAVw6cHmQ
cEpnFjSB9VVlygGD/ok0QcPzbAiWZhFp096L9WNhxtBevTw/di2HEGN2nufR+ehWRWHq3NZX/WVs
JjvABfw0trMCHEZQ+2RPD0ka0ZNS6P06LrOpUgCiSclxkvWrM0dO/wNwbrOjxjPJ146HHwWBFkfX
6s7aCmh0KNV9p7ARktGNbqLqp91m2PkN70AXDs/xYM2HTAZJzZFvdkwSOweCFGXtvdaLmzwlWNqk
Hf0YrMbBGMY7nmwt3ame1ZEj2UbAr7/T4WNs6sKrt6lGMmpdgh8uqtA8cIqF8g9NlJVzUyfhfIqb
ieRDQi5pNGW4jDGlCloRGwGcxVSacR5z7XlqxdoB2eBPdnaeS3NfrgTRafQeREaDysvbL4qz5DFN
aKzrOUuU4uZO51Bh4t0Nk03yXSfA7+UF1xtc5DxmDaIW2mCzAZ0Zhps1p8ujqR+1ceoCuvxB5FjX
mpEW7GwCLDUI8QukRbtPvN2QEteYWk4cFBpzDLsmn4SaRABe2+ruQmNTMz8nJNQH0A7vCFLBlzTp
ZJ5WYRDXecBIQW7jonZ2xvRBa07jtEZLz6EMpb8IKcWiUdl8FzSJitylhdusLZ9pZfHVX93MiAEc
PC3xbB2WTDzqCM4DlDMdY2J5nxQE8lRGHPqDhjm/GodtVbWMsfV0VxNftKMZojZlUvjxIqqzcgZ+
NklMHjmcm7J2fjQWEGHXy56I8PA4+CAq1VYPKcJvEC7c6ETB2uHnwhNISXWP5BmCLzYFiP9NxbqE
Tpb8kcn1AZARaGtBXzEzA213XT2pLAz3ev2toxl+INHhUMUk/BQOkaAq9wlY+t462g87MvOdCnGx
U/h9SdDzbDSP4trKGaU1LuegJHZPoqkB9NPljfXiWRgy2sEW/zwWzuKnSpb7qaVLMHboGjKW/aAt
mdP0hXvIBZE6pfkWRtFnrzVHaGkzSB5yC/15TnS/8sAelpxWY3CveRYyTDVD0F4NAUrllENjocPe
mca9O6dvfWwy8cjaa9oOH/iruRV/jsTXHBrGTkYy1uewrF1Wir1c40Rh7S/i09ImtPCTpuHL49+o
Aa0tnkpghjm+G4El5wBPDgEk7LXFwUTaH4k1SdumwHodUaYnWycVARNhdrx8jQfR54tOi2KPjOwV
HD44xQ58qdPWq2+E05BN0ezVDc44zJF+ljtPC5G8s1AO64E0ThUZKbNjYcY0TPBFXTeCd7JYLMz1
9tZ+2uks/LZt8p0zW3ZAc5qWh35urBCGkzmzxs/NdyRiPB6y+y7CzkDCCqeuT+PaNwZ9n+k0gUbO
455LAb4oGhlC7sk4fNWK6slbZIBHoT90/ShOTa2aXW3N06MS53QtJGl+ETCLtn4f0tVmEDcBAox0
SMkc4c8Ek5ho52CIadnJ9FJqUseDHKvnuJVHB5G201gnOwFgZTXLZzfq+1eiz+wHJ1YPA9T+J2hD
B88es5d8KxmstthILyMSXxrLdRoYGvPkUVDEw9cjN53aziAnaD8UR4SW9aVrgtKzX8GgfHXyqj7I
2SXnrXcf6mrYePTp90vSYmvLOVgUBscnzHYPgPnPxWBOzwUjw01e9i9LpIVEXpQSCBIxczz1yNfD
gMBOYFQuhVJddCktJ5NzMBLwoagN7sVmV3UO4/w1/ZG5AfffoL9CgJ52sA38Er65pqzo2V6SHwMG
HZ9Dc3lHUNu9PcgxmCFd70RdfJSL4oiRdt3B1ORXJFsAqWpTvBETFJJlYG6MMusONek/QyYbBu7T
Y0nBdYpLOi+W916tw47QiL6YU/VejC2ROi40SKrSD4MAgx1RCQpEW8HIaIHT0qduuSO302Q0qz+C
fhdB6RYTSTiUK0lNdJ/a5XGW7EvPwkwPVrQoa49gNoAIcDkEo2CmRNgl2hc7Ip3XHT6sRmRBH+p3
duXIi5moQ4aaBIphTdqnCcQ3rszA0PNxZ9rs0MyQpI+626WaqFHo8983pB/n23KI8AwICXmtHbCI
NuY35tH9lvHgk2QtDkxJ8tvskDcguhb9Ydljn3bm+yLXPJJhQn49dC8Tm+QYNVlPkV4EjskhtGgI
Rk5b305Y3QaL4mcOC6otqzF2kdeASJz1YEi869CukMWIrOVoks4OYeq2a4o7aG5RAOoBDkFDmCxZ
LOCZB8aSzMP1GMycF7HpEuHr7kFhfA4Vv7kYcQQUmhqdQXYUrJxbCaLSp6Gb2X1+XBR3e7iJUe/T
haSGpiPod2l3APATn8wdZjYBuB+MdBO/1UMDPZpSpGJysxXoUpHeZ/QLXDWz1Tjm0S4j4LuiHbZq
QR7lgX4/wzM/Z25/LFX7qXULrGbrbNASo9zaYfqTLCyikQgcnOxMHAa5kAMxc0InnsDvuzlooia/
tPBPIbBAFnOhmR41LdOewyaQme23CUxp2tHFA3Tpdlv+cDWCYabaIhgNgCsSFWtDUlKQObZxqCHu
8Ft60EpKVbNl80Y9s7XiliRgN2F6NtJsHT0ypeDudF2zjR0SR6q4pyzsgGwKDcf3pKM1azhed9hX
kP0PxzTjQKVxLIoMRuKkvU9beuMcEMA87xNypNrItXZGSyCWpGH8iIjqRaBK21SJcZ+PlraXPRVc
ajRhQGLAzvmEPUDHkchZxmK+rk3pZ07Zkt3VE/uwtX+SV4M/TSIZ1JMDOS8RE5Bk3TZAhdfeeGID
vVd5H1gcSx9sMBJM67uL0QL5yZ0ICe1QX5TT3qkmJEaxAnmkqvy+WaBJdouO79LQmBuiJYd7Oynf
URPJOVEXs3nN8DBV8+rOPCpSy19rMdT7OBzpl5Mkv3Sx4VfoMnyboK/7gSuHnqY/WS7fuu6APi+e
hO00RwzVkoEksvoQAV83PSDKTqPpWxoSLaMHzq5pmwGKs7BWeRGyqxV4BX2ZCcoMej8F6rYjJ3t+
HG1B0Rl2cieH5oJqod+V1vKoOWW3MzmFbQ2jRtjg9itr1yruW1w8gZpJJWgN4i36tOcIasrwlKk3
IEcdcFG30sC2kiSxdycUJLEC0D405t6waLvP05q0rpiZgB+/RkgFnwvPOGct163RU6gfwtvW07Dr
NPWecPm2IrIXLDCtn0beeZy8V3tJv+kDCDZ0Amy96e9fbp9Tf/yL2+e0XDTsCDB0JG64HWbNd3IW
8YSuTr3UtfEO3z68ffL20rgy3XYd2R5DWwK+RKJ588jd7Izaove/euZ++6S7ejkb9q6cSpsPb/+y
C7nP4p4hO9Aazt/wsmB3Z+3M9B4HXlEupJ6wTWY3X+rtO8e3t3P7UBRlccR7wAaCJ/W3lwbyMK7h
v3/SnalDEyf9+M1Nu9ji2o5zs7eIUAs0owt+M6be7LZi9Z73Ri23N2Pq7d3qN6TF7cPby82t6g7Y
zZoELO1qvSwMODjFetlHHv8c3PvhZpNlrPrcZGaxv1kevQztnuPQCl0NkLdPjRJcbhdZz1ZBEF1m
w56KSOw8JnRYe5rwSxFU0HgPKmTM2hTRV2exv9/++836SDpKG+jlS2eZdE/wyeH+Q/Jw01D+fwvP
y1z/+Nd/+fodlq6fdH2bfPS/N+Po5s1W848tPIev49ck+Xf+y6/+Hd22VgMPWm3TQqP4G3fPEb8Y
lmOR74yE3BUmwtBfuXuG8QsUWdfwbOFalmNIXCa/cvd0+YuHc0cS8SgQXktP/8+Zd1a9+G/KScuT
yHMJuFw1k1gfQPr9UTkpHBKqUnsdetWpdshnAGNaTuhtWup39Ni093ztLNVjuQpPrVe5rE+c186n
rKg9ugjLGxAdnXYxaBorEToMWosscVH4fQbMTwhOtg7ig4DpX7idemTPdd8fx4G5HHEP0XWUWnkx
s+4lqeVe9MnBtXqigkjqPeGXGX2NOVXvaTV3NmTvQY+0Q6hEt4tG5pb65HyRHuj+HHzhNvdqFjE5
moekByEOLcc9mCVqOU91yyN2bOSTq+oAZRpoYTk8NTTztoReGvthZLzbo2m96wkaWzrnlZk3AoLu
uammg+VAI1y03j5HqEqmITosqblgDnVXnhgzYKSXOkOFPfdSuxUJKY1h62aMKxXROBZA/06NHx0K
R22uOTGmBB0W9TgEo+Z86+35XWLguB8j98mw2vpB9a3ECMjcs8kKUM0UVLJzOQSnnrVh+roqMlPf
atz+Hd3Kzwb35sbJvGI/mY62QfBPCsXgbBsKsoxG4MHwBrpnelcephTSvBpJOLCiu2IK19Q4gk5y
xzpV1fSzqsbsYRy0T1oiHjuIRlf68TOVOXtRmbT73oW2HrNE3qkWx6FRIyNJSwFV0BrRnoqPtPec
+5bRMDjQtPYjgROxWZaXZnIj2KlxGRBM2zwWKxT/tjz9Q/m+8yex+Xojr3oiHg4hGB3JVWb9Oxl1
sVgw1cLOeS6xn2QYcA62OVB2TSQVM1sMj7Ze9zu+b0yoN6Dpkr4BHQRJJ/WE7757UB5sCpJTXN8Z
q4A8If3JLSfb7xZlPjLtd7zoRa84c6OYjU5urZ6STKjglkabT8PeIBA0GAf9PtezGswT2YkaaV8w
NrbR2LiBbBFL6A3p1KZWLxeFCo+njKjArruvGNMgbpl2cNU5g/f5h1tnX12q3fcOk5G3uG8qH+xr
XFO+LeMXA5e5rzpuVS+ibdmZ1UOqz9fOkv3WHCp6sdFovLR0eBH2iGaDys57/usLDvD+z0uHhayJ
RQg/F1Yz+2as+t0VryWdjZDT67PbkHkdY3w69fG8G1Vs3pmwchEgvZdRHD3kBH7U6pzO2uNUqy8E
/mp+ltST32BBxjDRfthDSbBzrkpGi0V7wVFLSoNxl4C326fSSOmW8hI1UbLVVzR1V486+E+GPC1d
ZhqT5qOekpEVd8A1iEQpreyU1+odTK/EKZ08NjHjPJG4sb/I4q2lCh2jCdBwXelnrlJ50QwzkAPI
4hyJFw346dEmsTCyJmRHDWJLp9bHbVaOCm7eAmnQrT+PorvkeV0GqCe1wJKXrl6B49jCdo03pVsG
Gp8T0clHZ7ROnkMUDnKr72h0LmNr6AeXxW3GchcUqFK2DZ3MtzkaL3Q+fLsQ7q63tN43CZ4YJJ2Y
GBgc+dwM/a2o8rCZFdthFBn45Irg2CK2qKl0yMDOfb5SwPXZxvrb20FMTGeRuFsd5BxEfubnXep9
cgGkV0tyyWIzvNTWa9FVybNtMdbrKWzzDoV6ZGZBXMVXfFNyu6zzcboVHp6VSBwKD0IyUp2uL9sL
wyMq0FwjjQNlTJYu9rl29FenJKnPGpu9IEeYxOMGU3WXMLOMJSzqBESlFxOyppb5TNoB4TPkMfh1
vSbXZtY9Oia3nUdIz4R394pHelH1fCbudWPW1KWuU/uS7OkjInuG0AQ2q1zQreC4xPAc8X2kk9q5
2Jb9DET2cOvg436/U2DJAx7075htDAp1he3QIKUmlNlHGdOlKICrg0Hw874Xd9xX5KNkvgHQ79LY
LdlphJsPLCZGTbdjJAB7TxDNPuRUuW+6JXuY5iczRv8e0jrfAu1gTGkvu2G268Dx3Pru9uKW9aZu
oMjM/GSED2f1oSzsEk9Mf8eMhDCwUX4xDYLhxNBmtDWdAw9BdhjKwvdmm3I1BCxOHsF0SKFro5GK
6E91hKAZkRlYCyIhMCxsT1l0wRLKhi1r1Mvdx4BD9J/4itAP/mEZsIWQhockzzR1oAeG4a2Otd8t
A0akwjBSrnZN8xaFZkxIkQE8aeO5qedzWDsuHu7EDBDgPI3Sb10ACIQmxpqbHHlYSIIBgXvGwG8D
yuDxKkr1FjG92Ops70cVTd+XSNjPSXFCBVqv4liSsxF4AbIrNYcII05hRQ0ZRevJGYzN/r6R9afJ
o0vVLNNwHG3uZA20zxaZmHHxojzZOW4QP4jedXdwmcicM/RLlTBdrrqO9BCDNqlllj+c0BzOOGrl
Jjb0Hr1XqM4MJZ1tawCgiUqEmFMDqh47ghWHfP0JWKMtiI0It7QyvuFIIbdEWMW5xSY5MHHjPCpP
YJGMu0ax9iPnIxbKtOcL3AVUSD2cgZkH62LWOpW/wE2ZYmVg78mtgLCCwh+mvtiDR01RAGv2uZnF
myriL6pOvjla5AWoWbaoHqNzoTMdUZG+G+zZPncuGiSSqWl7NZIOoG0gKEHu3XbLNq3TGkl7rp0d
z6A7pxByJCEN50TvrbuxNAENzMijCm+mLrOz6JxE/Hr7KUXDOeUpC0AWdPRmYtrSByTu2R0dEoNE
E6J0q2jMLjIC2YAhOGjma6J58d5ybW0rTK27MjEZLnnjvJjlNqR1ddGR/FdNXVyGxWUour4cJjX8
/OvNy1lvyt/K3vWmNSmeXUHNgFtaun+iTY+N3mnR0obXLkSt6CkO0KFTe+elN7oD7sC3ui0OmrZM
V2V/pIs331n2XteMamsmS/MVp2mglXm20wRWCmVMnZ8YlbGPMwPt9kh/QVuuGrCR09Q7wMda+aTZ
+fxZliSWSCTwV7CC5Zp9lARWD3226Qo0Noba1vjitp5s6d+tgIymYi0z3Xah1YuE2YgQpaEqDwPe
xjfAyfqZAJKFYGHiGjrzTk1PZejKCyxYcrfLwSWUxRJXkpHwXHj80pxWvHlMcBZ30Q/k9PSkVaNP
gtHFwKF/TEEm+lWYu4Frd34D7mT/1xfe+pMTb73w1nq2wcMqTEb5f1otStTdrR5H7jV3ln43pfp0
T/p1tP9kDQspzZO3BAIdsY/vCFknLA8tPldIBS+1zdx8trT0WlT3ZWxru6bP5/2cZA4QjPpNhMI+
k6GpbVsLPbDWE6u0tHTZpG7fly29zCTOzzqVAQGAET0mloytUeG7rgxSFitb1WS+mNmLLuyHPJOf
2zKG4aRIsiyBTV8cMjol2/lzj+kZbkgegRYVR82CcPXX1wgJ7/95d1qu5eq6YbgezZ8/XaSxaJMW
CYx9pUZkxySB7iHRn7pFDCdSa9HbEI/uGKsCnVH9SQwkUVA/wDtUunUsFEud5tllkHUDSlN7YpAW
khqI2gbNq1s3uzLzdBpU+hl/4bLinQd67EW7dk2co6wTdcr65M5t0neCPaxD1V3iQl2ES5+TdFr9
OEKNoXk+7Hun8AJ6Dd/muLARs5FQ5KKYayfTO9LlPy+yS9ClF77OLGrTinTZYwQiTV3Sk9dlOt9D
cKJoSBjIaEmHcX7mhONV1qnpmVcUoiKrih7gcS7nEWXTfRol8SdNt23UUe9KG9pLMjCsG7L4znXM
yB/IQnsROnM3M1ucM3Nnc0MhwUKCNTCBFYtM6kEZTEZiNY6BMe0txkNbSLna1qtTuekb+5OzWvhG
zjq7CXXFppUxwsuKSDVmgLqflo5+rpjQQHeKPEc7aBRNj7o1MmdjKONrSEXuGK1vjThOsMw4l2rI
h2uyiL3WQy1q+sa5X6rQ9dNExIhGkk+D2bFsdNMqTP1mTFP/VWbGNunlsmlIUMUOZtKhE+5jqMzv
Cp/MBBKon8PcLwuGafrA1Oq2A1lx+QgXrblUorln3PGQj7p8aBvSK2ScExpp+EuZd/cWwXmN0Jiz
IxOu3EoHBbmtbI18vtTVwO8gfijb6M3MVhMqvfSnpIlP7Rqmksziveil/krD8ZjlLYHrkzZz6qTH
OhtMONUqKOs1WZ5T6T729WtBkudDg8azQjW1N/ACQ6Bh5YlA1RjKPHdTuSkaNZxHK2HQkY8/XB0S
JhrAaI9fGBke8PEXMyEZXIvxFjAhqztgnLc/IvIK3CL9QPNRHeeJKo5HimMvkGclsRvJjMtu5caF
agnR39g/m7B69vGMvNnt0erOUyTuuLjyn/jJWcz+/BR7Jn1zT5e2fWvY/OlESiu9GLpMNVfboTiY
Ci/1axCfp46Oyj2b0nXBcLSx29J6QHT0zGDdhvXfwVQlbjaYQ+BZOm39Hcrbh8m027OZWrQyw0et
KJ+ANZUv5Ck6Rr88CSONDwl6TJoNsfEKHJ3McomNSipRBnBzX/pUEnncsW/f1lmzhTeaIEs8xuHM
byIaxgeZhd9RHl9FbnovEaGKFb/mewbrWD7A+GM3ZZjDnil3DNxr0jflFFDhCp/uzCoH0PN9N3bQ
mzXmF6FeI5iNHQx5Wthv8tHdt9osUYpIeR82VYQmpMEE6jQl3zgqH+wB1d6cgGLFwbdh4DN8duvl
mKbZ8uLoDVO7SECImgxkt/WTKnta71oVv6JObQ5ZwvfNGWe8FOGz463/WixYRZj0Hz3wXkemXzg6
QlY34UZPSi/EHRaOxS+EiZnDSTajbOl82OZ752AgjhHEX5yGOl/FFhKjWaQ7b3A/CrImr9GAqwQd
XnR2TYwzdUXMtDlCiaSciVKC0vKZlMV6HW3YlEzXXgcHSQ8hIPKzZ3zHzpWUTCgyDnQ4IKjmE63Z
57kKSoq9TeEWIb7IinxJwYg5Fim0rbgtNn2vlffdlNHXGLW3RFUKhwjzzXZmcOQ6A8cMio6qMuxz
abwIETdne1VlhyGCYQJu7N3gxD7xpChWitHZqMGL9mGZ4MUdnZZbp2l6PJlDdsCKgUsiSt/jNEIm
NQnTzwfMK0zhmBXlHmfYLrwoZpPECiSw9bKP0c7158rpgW5UZnRK6rJ7cOjDuxVW9n5sig8sbOy4
SOaqjgZ/zxMZ6WN+zKp1BuyF59AqVrF7ciKhLX8lXvQbDRv9rln/1DcedKHl2jS5ecppZr4w1852
kW5Z2E3eChRbD53ozMcwXsfZbZbvZUfmPZArya/Qy66SkQx+WY7fVvYzbMdvTiOdp/TNMDXIjGDB
9xPBNWb1lGjfE5wq275tVyoBNLvIJU9qVrb0dVHJV2vJmbsSiLvTUoSjhGXYW7aBN63DpQFnoLtk
ken4IYE7sN4ocbqbmbZIXvKZnEKcSOkxssvXOqqGYFjzBWrxosyWkqcyk89SIfFA2bNE1WWJbLnv
K2ipZirPc0EomdvP/Qa6/D7S4+RelH3yNEb9ESqzs48srWR5ree3LOS2oziKmTB+gsHEzZOpEnGt
Xm5nVvFLARgZw8XneircLTQj97D6mKB2Vo8u+lZ8IFP+WFvt89CTuJZ7jbavbC+/Q6+kNh7pKRuV
TNRka85bNKTvZWLYO0kNtR1gJgZFOTL0jhR5IoYef0IGiydxVO5jatf0HNrv9CkMxNw1cIEkQRwE
PRZnWO4EYEKRniQ62L5evjA9t80r1cqRBE0de1z8moa9tmOunuNKOTTzmNIGs4uzU8+UgZyfNoNm
hYdCY8yut/hnzFRXV73eF8KuEIF1sZ+jvyHFrw0fJ+JHNlDPc1y7qvcHywxPoBnxftiYllwdhS3o
LoNVZ1R+36CMr/L8zpDzFJjoXgqiRze3snm2v/ZY7Y4c3p8XhNPbecYvXmozUQmJn3tzUA/pR56O
OWINSbQfmoBFY3pKqgTpWVW3jZw5vGhjQ2qMyshNqzGgYw6mmBW6PCy6+dnFhKp33WeE38YBV9N0
9HSKBLjGDuIAd7zX0+bLQrN4JzCzoKYar8wQPC6ahzczY+YmhvE+ryfC3EvzZ95EzOonfX635pJA
bnQZTP5Y0/A4XrPW2XveG9HO5SdJ79zvc1uAix26A+G+7t92yv9nJku//iD+1/4ros2kh6n0A4Hw
j27I+7+T0ta/fUTN1L8Q3/Bf+Uf/hmD797/Q//px+6L/ZFZlgDyjCvnDrOr2pm7v+K++Rv6V9zx8
ZxBmGr/gf5GIv4DFcNL1OBoTkhb9+tea9H5hIIYvk7Qow5TG2mjnG/7uIv2jy/DXP+Hfrudf/5u/
+gn+doGO3//1X0Ayyf/2VfB+waLgreMEeoQ3Rt4fr4LzCz85yxQ4Hdrf8G3+L12Fj2rAWc3dSEb8
HyCCxkp/+4/cCX/6Cr+7E7xfkDjYNohaF4YP2+of7wTP+4XFxxSGp7tgoC2HKeX/rDsBpJvB2fk/
chX+NP/97SpY4hfJOJ5bwVt/RrlOcH//PLjuL4yepAdTiWmt1A3+/n/WVQA4/t+9COui4DjWOiTm
1b7d7r+/CPJ/M3duu20bQRh+FT8BoeXyeBOgcNomLZIWPSToJSMxNmFZNEg5ifv0/fZAmUs6rdsR
0AVyk9gZUcPZOfzz70yRVBkQMJhOhAqg8qd3JbICTdu9ppBjxRBnAgR1cRYAhZKcQU5pVZSZVnT1
o7MCPJVUCVkCvM9kNMWlGpWtlaBUgpXkxAbm/IDxRecQWDHqXozrK59i7b+Jj7A5jCvgJYNhKuaM
hv6AmayMSwKB4pQUdEv+t8iw8GiP8bFknaPQEjKVMPRV5cC4hIdSm1gz9wcl/sLmBvF5w5SURuwO
OexmXyZG4L9m+PXrkshJZIwzHgBHuYMpOARlwkIDoqKqcCvO58/fv1JkiRCYyJ+seWhncBEliRUN
IOEh0OQ/7LPLIVCxbZ6VN8vMIE/IFwrCAcwqM5zZJaURKUHDPaP3IIuMGkIanV+6wJwIR2Obm0Jl
8icuXSvm85Q0R818w8jyI5rX0nohrRJA3pyL5TVzGgob+gItmHW5+MkUtzEt2Y1LCxqeoThLqhOd
6pKCyNzehxOEo51rARtICpIkawbxhQauzW2eWTQtgutjuUCmbC42VRUzyCkPbSI4V0GlWcQMD5QT
Eakh0G8spK4xwynAx6PFQIs9Y64pAWeuBTSd0OEga/YVVVxnQdF7leYIWZZoOvncA1Esz7ZE3VAF
KgNIYWopGEuqCxLF6PwiRb04UdwkCg1kVE6+Np6bAVgSYA1zWaaqMroISaVTAYCJIiSr0qFxFzlU
bvCSnDIxPAy1JlvcwBAHbDEoS3QAQmpqf6kS8PwpOYKBFnF+cOFDJZRUFKRQNdBdlBhKoVKpUwRD
YFg8rH7U6Rj/oQrqCo+BhWAGFZOmIyyfGa0s9ghowUNIxtADb7ChZtDllEHZfDqyuEBoF+fL1IZU
zIz9rjGpDWFyoYUcZBkwkXsfJfO7WOwSXVyoyWKF7kBvEjJEyifAZToNwIqhFmpF1UDgfMSaYtOC
ptUirRrIETZlzmD8XHPXZ91lAEaBn8hceBBm0mpgx+i0APwvhhVzwGNGkppamq4FNWloC4DLHAPw
BnYV0Y6Isc9AJ0zqF+gzgC3nUIZKynIDqiy0AKSGt4AEqnIHtMdmC4pNUmIt5LxrgyHzolNuxy0L
h6JOGH0A9gw9kg1HIE+xaQFyqxhN0FnCogpgBBTBbpXCUMvmkZLRbIkikeLIAKxQRLkUNSJkKd0A
d9hXIwAZ6bmYUJlzo6vy3m+uhbLgRChgpxMEGVe2gCUoqQ7wClyroAmtN/TjST+WaTNFJM3ZlLU1
1lDia7ngrvwhFVkCh4BGe8Y2O1rO+QJOMD0XcqVZIRmdV+CQSnMm6kggdRxjQaXk42BwHiix6EHT
hs2ZfI+SXM0Wk1egLyDFGMmZKpw/lASyZwO8L3xjldN62ph2PYvBItUCzkzoGzPWO/Ll2KPHnW2+
7xJToLCgzOLksZkrNWVEhLbAFHWpFkxmWCv6rZWaLH5+IuosISnRwPuRIs7UN54189+do+nFpuCV
ZZnzsk2fKUwWoOmQIwA7PPJX4oqT3ByUUxMUvTZdUkuCoNF+WNWTdCbImuEpEUKoOiP0jZipuJLi
W7LU1SALoEd0IBamoFQB5pxrOlUTHBuZKeQskRU6BQ3AQlY4FYvrtiwAFBAcPAD489SdEdLWTPwS
aoEOTMFqBtwi39Gw8xA4d40Gby3RwklPLiLFlCwYho1UCyl9KEYLgiyba5722AdayEGlafqRQaes
RmStpv3AiLRAwe+5ZIIIUQItECAKyghLz5urwLXi8J0kjJiLRV/icgp0x5TUEDSMHUgKJXUU2yjX
BMaSThQ8DntSHMczOh2YVa88lMwMCJIgBrxqum6m4xhYwgYIisqBZGkzcZ7j0oLhq4g7kmArGBRU
lSp1GNJaC6B5xNDiVGtGpgXu4YvDA46RFcIsFuXUszzTBMHQFoii3KiG48aQF2JldDgbFxQMGCI7
EaAnmv312IMhaq4aUjWlJMA8XXqzgdXuN36uKTwjhJzujlxed/vdt+aCR9eOT10u+dovTN5g/XN/
U8JchzAXAYJfNJdI3Gc7Tqj5+4uA0GJvc8x+ON3usJ/j/7v/guuPDj5r+lbTP77q2qEZtowBsvdZ
/GO+bW65efLNvvnQ3DbBJDVLXX98ktWcttPr/wfB481CrkGqxXKH7s/+EAq2LGu54JvmwPrF6RHt
rRZLXZZKvmRTzcd+OHTBUztGqFh2v++HZtfPn9pR7+WSD4d2e+y298dAuCUyS4W/bPdM8BvauWTH
DhVL9uMEL/qPF5dcW739EKq9phSdPvXJm13Psu7v0Hq3C96ncoxG6fN/3/bDVfjIniInlfz1mYlf
v+b2LGW83jXXgQF6Kpf0gdlz2h36LjyRjh8lFn3Ydc3Ci7gbbGLJ/efQLByZSSr2x7VvcuwYsWAE
3G9vHqYzYd2eo1xIRTNjoxtXanZEBqnsN013CLyHb4TK5Q4P++awm6vD99Xkosex2XJftz0eA5tO
XZ9CLL/bMgChCS8kOvBfLppYMPbHwLJTCgMyVLnscez4c3fXTcJsBuWu1Z5Den8/LEWf5cH7w3Hh
Q1JluwzSh37bfhiaRfbkUWu56E9NGLeouwwGKhf8+eJVc3s3XndhWEe+AdbOIf+HdhjbwFP5du85
hL9pv3TbIIx5VsE5hP/Btq9JB9a6Hc4mFs1cy+uLy4axbl0YzTx+c54PeNncLM8+rEQKQan4n9i6
MkmxanGcHrHYmz0ZSVjV+CtoYtFDe7W8822p+1LBP7eHw/iw/9QsygR/nVoq/pfrftdevB5Xsc3R
jKXif2Ve/9OG6K87necD1obo0Smp+N/QfjuObZBSaMezk8v+ElaVvvcmlfv7sbmeHx5/mUgq9l07
3BLZAsmOdimW3FHZLMxbu+aTVPT7hrhzuDqGR9Pj+GLh7Xi8ePfUwztqtlh+N257htoEmZuH2sSy
H3pm7F8Fb9NBmX8v+Smk6TRwZI0/TYNEnvpvIbhmfmO7b5vhxV8AAAD//w==</cx:binary>
              </cx:geoCache>
            </cx:geography>
          </cx:layoutPr>
          <cx:valueColors>
            <cx:minColor>
              <a:schemeClr val="accent1">
                <a:lumMod val="75000"/>
              </a:schemeClr>
            </cx:minColor>
            <cx:midColor>
              <a:schemeClr val="bg1"/>
            </cx:midColor>
            <cx:maxColor>
              <a:schemeClr val="accent2">
                <a:lumMod val="75000"/>
              </a:schemeClr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22" fmlaLink="$A$1" max="10" min="1" page="10" val="10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422910</xdr:colOff>
      <xdr:row>27</xdr:row>
      <xdr:rowOff>74295</xdr:rowOff>
    </xdr:from>
    <xdr:to>
      <xdr:col>7</xdr:col>
      <xdr:colOff>598170</xdr:colOff>
      <xdr:row>35</xdr:row>
      <xdr:rowOff>186690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430530</xdr:colOff>
      <xdr:row>22</xdr:row>
      <xdr:rowOff>34290</xdr:rowOff>
    </xdr:from>
    <xdr:to>
      <xdr:col>8</xdr:col>
      <xdr:colOff>3810</xdr:colOff>
      <xdr:row>28</xdr:row>
      <xdr:rowOff>34290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240030</xdr:colOff>
      <xdr:row>11</xdr:row>
      <xdr:rowOff>38100</xdr:rowOff>
    </xdr:from>
    <xdr:to>
      <xdr:col>7</xdr:col>
      <xdr:colOff>354330</xdr:colOff>
      <xdr:row>18</xdr:row>
      <xdr:rowOff>118109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224789</xdr:colOff>
      <xdr:row>11</xdr:row>
      <xdr:rowOff>114300</xdr:rowOff>
    </xdr:from>
    <xdr:to>
      <xdr:col>2</xdr:col>
      <xdr:colOff>0</xdr:colOff>
      <xdr:row>36</xdr:row>
      <xdr:rowOff>34290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400050</xdr:colOff>
      <xdr:row>1</xdr:row>
      <xdr:rowOff>45721</xdr:rowOff>
    </xdr:from>
    <xdr:to>
      <xdr:col>16</xdr:col>
      <xdr:colOff>270510</xdr:colOff>
      <xdr:row>4</xdr:row>
      <xdr:rowOff>125731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00050" y="236221"/>
          <a:ext cx="12153900" cy="651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What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do </a:t>
          </a:r>
          <a:r>
            <a:rPr lang="en-US" sz="2800" b="1" baseline="0">
              <a:solidFill>
                <a:schemeClr val="accent1"/>
              </a:solidFill>
            </a:rPr>
            <a:t>wage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and </a:t>
          </a:r>
          <a:r>
            <a:rPr lang="en-US" sz="2800" b="1" baseline="0">
              <a:solidFill>
                <a:schemeClr val="accent2"/>
              </a:solidFill>
            </a:rPr>
            <a:t>employment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figures look like by industry?</a:t>
          </a:r>
          <a:endParaRPr lang="en-US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112396</xdr:colOff>
      <xdr:row>9</xdr:row>
      <xdr:rowOff>1905</xdr:rowOff>
    </xdr:from>
    <xdr:to>
      <xdr:col>1</xdr:col>
      <xdr:colOff>2859406</xdr:colOff>
      <xdr:row>11</xdr:row>
      <xdr:rowOff>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54356" y="1929765"/>
          <a:ext cx="274701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Annual </a:t>
          </a:r>
          <a:r>
            <a:rPr lang="en-US" sz="1600" b="1">
              <a:solidFill>
                <a:schemeClr val="accent1"/>
              </a:solidFill>
            </a:rPr>
            <a:t>Wage</a:t>
          </a:r>
        </a:p>
      </xdr:txBody>
    </xdr:sp>
    <xdr:clientData/>
  </xdr:twoCellAnchor>
  <xdr:twoCellAnchor>
    <xdr:from>
      <xdr:col>9</xdr:col>
      <xdr:colOff>80010</xdr:colOff>
      <xdr:row>11</xdr:row>
      <xdr:rowOff>38100</xdr:rowOff>
    </xdr:from>
    <xdr:to>
      <xdr:col>17</xdr:col>
      <xdr:colOff>99060</xdr:colOff>
      <xdr:row>35</xdr:row>
      <xdr:rowOff>144780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6410" y="2273300"/>
              <a:ext cx="6553200" cy="452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41911</xdr:colOff>
      <xdr:row>9</xdr:row>
      <xdr:rowOff>1905</xdr:rowOff>
    </xdr:from>
    <xdr:to>
      <xdr:col>7</xdr:col>
      <xdr:colOff>346711</xdr:colOff>
      <xdr:row>11</xdr:row>
      <xdr:rowOff>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400551" y="1929765"/>
          <a:ext cx="2743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US" sz="1600" b="1">
              <a:solidFill>
                <a:schemeClr val="accent2"/>
              </a:solidFill>
            </a:rPr>
            <a:t>Employees</a:t>
          </a:r>
        </a:p>
      </xdr:txBody>
    </xdr:sp>
    <xdr:clientData/>
  </xdr:twoCellAnchor>
  <xdr:twoCellAnchor>
    <xdr:from>
      <xdr:col>3</xdr:col>
      <xdr:colOff>3811</xdr:colOff>
      <xdr:row>19</xdr:row>
      <xdr:rowOff>186690</xdr:rowOff>
    </xdr:from>
    <xdr:to>
      <xdr:col>7</xdr:col>
      <xdr:colOff>308611</xdr:colOff>
      <xdr:row>21</xdr:row>
      <xdr:rowOff>186690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362451" y="4095750"/>
          <a:ext cx="2743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1"/>
              </a:solidFill>
            </a:rPr>
            <a:t>Wage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US" sz="1600" b="1">
              <a:solidFill>
                <a:schemeClr val="accent2"/>
              </a:solidFill>
            </a:rPr>
            <a:t>Employee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</a:p>
      </xdr:txBody>
    </xdr:sp>
    <xdr:clientData/>
  </xdr:twoCellAnchor>
  <xdr:twoCellAnchor>
    <xdr:from>
      <xdr:col>5</xdr:col>
      <xdr:colOff>160020</xdr:colOff>
      <xdr:row>11</xdr:row>
      <xdr:rowOff>110490</xdr:rowOff>
    </xdr:from>
    <xdr:to>
      <xdr:col>8</xdr:col>
      <xdr:colOff>34290</xdr:colOff>
      <xdr:row>17</xdr:row>
      <xdr:rowOff>3810</xdr:rowOff>
    </xdr:to>
    <xdr:sp macro="" textlink="'Data Prep'!I19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737860" y="2495550"/>
          <a:ext cx="1703070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66B599A7-5ADE-4376-8454-B46DBD6CB177}" type="TxLink">
            <a:rPr lang="en-US" sz="6000" b="1" i="0" u="none" strike="noStrike">
              <a:solidFill>
                <a:schemeClr val="accent2"/>
              </a:solidFill>
              <a:latin typeface="Calibri"/>
              <a:cs typeface="Calibri"/>
            </a:rPr>
            <a:pPr/>
            <a:t>2%</a:t>
          </a:fld>
          <a:endParaRPr lang="en-US" sz="6000" b="1">
            <a:solidFill>
              <a:schemeClr val="accent2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508000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9</xdr:row>
          <xdr:rowOff>50800</xdr:rowOff>
        </xdr:from>
        <xdr:to>
          <xdr:col>13</xdr:col>
          <xdr:colOff>1447800</xdr:colOff>
          <xdr:row>10</xdr:row>
          <xdr:rowOff>152400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1485900</xdr:colOff>
          <xdr:row>9</xdr:row>
          <xdr:rowOff>0</xdr:rowOff>
        </xdr:from>
        <xdr:to>
          <xdr:col>14</xdr:col>
          <xdr:colOff>533400</xdr:colOff>
          <xdr:row>11</xdr:row>
          <xdr:rowOff>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1,000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55246</xdr:colOff>
      <xdr:row>9</xdr:row>
      <xdr:rowOff>1905</xdr:rowOff>
    </xdr:from>
    <xdr:to>
      <xdr:col>13</xdr:col>
      <xdr:colOff>1045845</xdr:colOff>
      <xdr:row>11</xdr:row>
      <xdr:rowOff>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9054466" y="1929765"/>
          <a:ext cx="1600199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</a:t>
          </a: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600" b="1" baseline="0">
              <a:solidFill>
                <a:schemeClr val="accent1"/>
              </a:solidFill>
            </a:rPr>
            <a:t>Wages</a:t>
          </a:r>
          <a:endParaRPr lang="en-US" sz="1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1680211</xdr:colOff>
      <xdr:row>9</xdr:row>
      <xdr:rowOff>1905</xdr:rowOff>
    </xdr:from>
    <xdr:to>
      <xdr:col>15</xdr:col>
      <xdr:colOff>605790</xdr:colOff>
      <xdr:row>11</xdr:row>
      <xdr:rowOff>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1289031" y="1929765"/>
          <a:ext cx="1996439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2"/>
              </a:solidFill>
            </a:rPr>
            <a:t>Employees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per 1,000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4887871</fb>
    <v>0</v>
  </rv>
  <rv s="0">
    <fb>7171646</fb>
    <v>0</v>
  </rv>
  <rv s="0">
    <fb>3013825</fb>
    <v>0</v>
  </rv>
  <rv s="0">
    <fb>39557045</fb>
    <v>0</v>
  </rv>
  <rv s="0">
    <fb>5695564</fb>
    <v>0</v>
  </rv>
  <rv s="0">
    <fb>3572665</fb>
    <v>0</v>
  </rv>
  <rv s="0">
    <fb>967171</fb>
    <v>0</v>
  </rv>
  <rv s="0">
    <fb>21670000</fb>
    <v>0</v>
  </rv>
  <rv s="0">
    <fb>10519475</fb>
    <v>0</v>
  </rv>
  <rv s="0">
    <fb>1754208</fb>
    <v>0</v>
  </rv>
  <rv s="0">
    <fb>12741080</fb>
    <v>0</v>
  </rv>
  <rv s="0">
    <fb>6691878</fb>
    <v>0</v>
  </rv>
  <rv s="0">
    <fb>3156145</fb>
    <v>0</v>
  </rv>
  <rv s="0">
    <fb>2911505</fb>
    <v>0</v>
  </rv>
  <rv s="0">
    <fb>4468402</fb>
    <v>0</v>
  </rv>
  <rv s="0">
    <fb>4659978</fb>
    <v>0</v>
  </rv>
  <rv s="0">
    <fb>1338404</fb>
    <v>0</v>
  </rv>
  <rv s="0">
    <fb>6042718</fb>
    <v>0</v>
  </rv>
  <rv s="0">
    <fb>6902149</fb>
    <v>0</v>
  </rv>
  <rv s="0">
    <fb>9995915</fb>
    <v>0</v>
  </rv>
  <rv s="0">
    <fb>5611179</fb>
    <v>0</v>
  </rv>
  <rv s="0">
    <fb>2963914</fb>
    <v>0</v>
  </rv>
  <rv s="0">
    <fb>6126452</fb>
    <v>0</v>
  </rv>
  <rv s="0">
    <fb>1062305</fb>
    <v>0</v>
  </rv>
  <rv s="0">
    <fb>1929268</fb>
    <v>0</v>
  </rv>
  <rv s="0">
    <fb>3034392</fb>
    <v>0</v>
  </rv>
  <rv s="0">
    <fb>1356458</fb>
    <v>0</v>
  </rv>
  <rv s="0">
    <fb>8908520</fb>
    <v>0</v>
  </rv>
  <rv s="0">
    <fb>2095428</fb>
    <v>0</v>
  </rv>
  <rv s="0">
    <fb>19542209</fb>
    <v>0</v>
  </rv>
  <rv s="0">
    <fb>10383620</fb>
    <v>0</v>
  </rv>
  <rv s="0">
    <fb>760077</fb>
    <v>0</v>
  </rv>
  <rv s="0">
    <fb>11689442</fb>
    <v>0</v>
  </rv>
  <rv s="0">
    <fb>3943079</fb>
    <v>0</v>
  </rv>
  <rv s="0">
    <fb>4190713</fb>
    <v>0</v>
  </rv>
  <rv s="0">
    <fb>12807060</fb>
    <v>0</v>
  </rv>
  <rv s="0">
    <fb>1057315</fb>
    <v>0</v>
  </rv>
  <rv s="0">
    <fb>5084127</fb>
    <v>0</v>
  </rv>
  <rv s="0">
    <fb>882235</fb>
    <v>0</v>
  </rv>
  <rv s="0">
    <fb>6770010</fb>
    <v>0</v>
  </rv>
  <rv s="0">
    <fb>28701845</fb>
    <v>0</v>
  </rv>
  <rv s="0">
    <fb>3161105</fb>
    <v>0</v>
  </rv>
  <rv s="0">
    <fb>626299</fb>
    <v>0</v>
  </rv>
  <rv s="0">
    <fb>8517685</fb>
    <v>0</v>
  </rv>
  <rv s="0">
    <fb>7614893</fb>
    <v>0</v>
  </rv>
  <rv s="0">
    <fb>1805832</fb>
    <v>0</v>
  </rv>
  <rv s="0">
    <fb>5813568</fb>
    <v>0</v>
  </rv>
  <rv s="0">
    <fb>577737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workbookViewId="0"/>
  </sheetViews>
  <sheetFormatPr defaultRowHeight="14.5" x14ac:dyDescent="0.35"/>
  <cols>
    <col min="1" max="1" width="9.1796875" customWidth="1"/>
    <col min="2" max="2" width="21.7265625" customWidth="1"/>
    <col min="3" max="3" width="18.7265625" customWidth="1"/>
    <col min="4" max="4" width="14.54296875" customWidth="1"/>
    <col min="5" max="5" width="10.7265625" customWidth="1"/>
    <col min="6" max="6" width="16.7265625" customWidth="1"/>
    <col min="7" max="18" width="9.1796875" customWidth="1"/>
  </cols>
  <sheetData>
    <row r="1" spans="1:6" x14ac:dyDescent="0.35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5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5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5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5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5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5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5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5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5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5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5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5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5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5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5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5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5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5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5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5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5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5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5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5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5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5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5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5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5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5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5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5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5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5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5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5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5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5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5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5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5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5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5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5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5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5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5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5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5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5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5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5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5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5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5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5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5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5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5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5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5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5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5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5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5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5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5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5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5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5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5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5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5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5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5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5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5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5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5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5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5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5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5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5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5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5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5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5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5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5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5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5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5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5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5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5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5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5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5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5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5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5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5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5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5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5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5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5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5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5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5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5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5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5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5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5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5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5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5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5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5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5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5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5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5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5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5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5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5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5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5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5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5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5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5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5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5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5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5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5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5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5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5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5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5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5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5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5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5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5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5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5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5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5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5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5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5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5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5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5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5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5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5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5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5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5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5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5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5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5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5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5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5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5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5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5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5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5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5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5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5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5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5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5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5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5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5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5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5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5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5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5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5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5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5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5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5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5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5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5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5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5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5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5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5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5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5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5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5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5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5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5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5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5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5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5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5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5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5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5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5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5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5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5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5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5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5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5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5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5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5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5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5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5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5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5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5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5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5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5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5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5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5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5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5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5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5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5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5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5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5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5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5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5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5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5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5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5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5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5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5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5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5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5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5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5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5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5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5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5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5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5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5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5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5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5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5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5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5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5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5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5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5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5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5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5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5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5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5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5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5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5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5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5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5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5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5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5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5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5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5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5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5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5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5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5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5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5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5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5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5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5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5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5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5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5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5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5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5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5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5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5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5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5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5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5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5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5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5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5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5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5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5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5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5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5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5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5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5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5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5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5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5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5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5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5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5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5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5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5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5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5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5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5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5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5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5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5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5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5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5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5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5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5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5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5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5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5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5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5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5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5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5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5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5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5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5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5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5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5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5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5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5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5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5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5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5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5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5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5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5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5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5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5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5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5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5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5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5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5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5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5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5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5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5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5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5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5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5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5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5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5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5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5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5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5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5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5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5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5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5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5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5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5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5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5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5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5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5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5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5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5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5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5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5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5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5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5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5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5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5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5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5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5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5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5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5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5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5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5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5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5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5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5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5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5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5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5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5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5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5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5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5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5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5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5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5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5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5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5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5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5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5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5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5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5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5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5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5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5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5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5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5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5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5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5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5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5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5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5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5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5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5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5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5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5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5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5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5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5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5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5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5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5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5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5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5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5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5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5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5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5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5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5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5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5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5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5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5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5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5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5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5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5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5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5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5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5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5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5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5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5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5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5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5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5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5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5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5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5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5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5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5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5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5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5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5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5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5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5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5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5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5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5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5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5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5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5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5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5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5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5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5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5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5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5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5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5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5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5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5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5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5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5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5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5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5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5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5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5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5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5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5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5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5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5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5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5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5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5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5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5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5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5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5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5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5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5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5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5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5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5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5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5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5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5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5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5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5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5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5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5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5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5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5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5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5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5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5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5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5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5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5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5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5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5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5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5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5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5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5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5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5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5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5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5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5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5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5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5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5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5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5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5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5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5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5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5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5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5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5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5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5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5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5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5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5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5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5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5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5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5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5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5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5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5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5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5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5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5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5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5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5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5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5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5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5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5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5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5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5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5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5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5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5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5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5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5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5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5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5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5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5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5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5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5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5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5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5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5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5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5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5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5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5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5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5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5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5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5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5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5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5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5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5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5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5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5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5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5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5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5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5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5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5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5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5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5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5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5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5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5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5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5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5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5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5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5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5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5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5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5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5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5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5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5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5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5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5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5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5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5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5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5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5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5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5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5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5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5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5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5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5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5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5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5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5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5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5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5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5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5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5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5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5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5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5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5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5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5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5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5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5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5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5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5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5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5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5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5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5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5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5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5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5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5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5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5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5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5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5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5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5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5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5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5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5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5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5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5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5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5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5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5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5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5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5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5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5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5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5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5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5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5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5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5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5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5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5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5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5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5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5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5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5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5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5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5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5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5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5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5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5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5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5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5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5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5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5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5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5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5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5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5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5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5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5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5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5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5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5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5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5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5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5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5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5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5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5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5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5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5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5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5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5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5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5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5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5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5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5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5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5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5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5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5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5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5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5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5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5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5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5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5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5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5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5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5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5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5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5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5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5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5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5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5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5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5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5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5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5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5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5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5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5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5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5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5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5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5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5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5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5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5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5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5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5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5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5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5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5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5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5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5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5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5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5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5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5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5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5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5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5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5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5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5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5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5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5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5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5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5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5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5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5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5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5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5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5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5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5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5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5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5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5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5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5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5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5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5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5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5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5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5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5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5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5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5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5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5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5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5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5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5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5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5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5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5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5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5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5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5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5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5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5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5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5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5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5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5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5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5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5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5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5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5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5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5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5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5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5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5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5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5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5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5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5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5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5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5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5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5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5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5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5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5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5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5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5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5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5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5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5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5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5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5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5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5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5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5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5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5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5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5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5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5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5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5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5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5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5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5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5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5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5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5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5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5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5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5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5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5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5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5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5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5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5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5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5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5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5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5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5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5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5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5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5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5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5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5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5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5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5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5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5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5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5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5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5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5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5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5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5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5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5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5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5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5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5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5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5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5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5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5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5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5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5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5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5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5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5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5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5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5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5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5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5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5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5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5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5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5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5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5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5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5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5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5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5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5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5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5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5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5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5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5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5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5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5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5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5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5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5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5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5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5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5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5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5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5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5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5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5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5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5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5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5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5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5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5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5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5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5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5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5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5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5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5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5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5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5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5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5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5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5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5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5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5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5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5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5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5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5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5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5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5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5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5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5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5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5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5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5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5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5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5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5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5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5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5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5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5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5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5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5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5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5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5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5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5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5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5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5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5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5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5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5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5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5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5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5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5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5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5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5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5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5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5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5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5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5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5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5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5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5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5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5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5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5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5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5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5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5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5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5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5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5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5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5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5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5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5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5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5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5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5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5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5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5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5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5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5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5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5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5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5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5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5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5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5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5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5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5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5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5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5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5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5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5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5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5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5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5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5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5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5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5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5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5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5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5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5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5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5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5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5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5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5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5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5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5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5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5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5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5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5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5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5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5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5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5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5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5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5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5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5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5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5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5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5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5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5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5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5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5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5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5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5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5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5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5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5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5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5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5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5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5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5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5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5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5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5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5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5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5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5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5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5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5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5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5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5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5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5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5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5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5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5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5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5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5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5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5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5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5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5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5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5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5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5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5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5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5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5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5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5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5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5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5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5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5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5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5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5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5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5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5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5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5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5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5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5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5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5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5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5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5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5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5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5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5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5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5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5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5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5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5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5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5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5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5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5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5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5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5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5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5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5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5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5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5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5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5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5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5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5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5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5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5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5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5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5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5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5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5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5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5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5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5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5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5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5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5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5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5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5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5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5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5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5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5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5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5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5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5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5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5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5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5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5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5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5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5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5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5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5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5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5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5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5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5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5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5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5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5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5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5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5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5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5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5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5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5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5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5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5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5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5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5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5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5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5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5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5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5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5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5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5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5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5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5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5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5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5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5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5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5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5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5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5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5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5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5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5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5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5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5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5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5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5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5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5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5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5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5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5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5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5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5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5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5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5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5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5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5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5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5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5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5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5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5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5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5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5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5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5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5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5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5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5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5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5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5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5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5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5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5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5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5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5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5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5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5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5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5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5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5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5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5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5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5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5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5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5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5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5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5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5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5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5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5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5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5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5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5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5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5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5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5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5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5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5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5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5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5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5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5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5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5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5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5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5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5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5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5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5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5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5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5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5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5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5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5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5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5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5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5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5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5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5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5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5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5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5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5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5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5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5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5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5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5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5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5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5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5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5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5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5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5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5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5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5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5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5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5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5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5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5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5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5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5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5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5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5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5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5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5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5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5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5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5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5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5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5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5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5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5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5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5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5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5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5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5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5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5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5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5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5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5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5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5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5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5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5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5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5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5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5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5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5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5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5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5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5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5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5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5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5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5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5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5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5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5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5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5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5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5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5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5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5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5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5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5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5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5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5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5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5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5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5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5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5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5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5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5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5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5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5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5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5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5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5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5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5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5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5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5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5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5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5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5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5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5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5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5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5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5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5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5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5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5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5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5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5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5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5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5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5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5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5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5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5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5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5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5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5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5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5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5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5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5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5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5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5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5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5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5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5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5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5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5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5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5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5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5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5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5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5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5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5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5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5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5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5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5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5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5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5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5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5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5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5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5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5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5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5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5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5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5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5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5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5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5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5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5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5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5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5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5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5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5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5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5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5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5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5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5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5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5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5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5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5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5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5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5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5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5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5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5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5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5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5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5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5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5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5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5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5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5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5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5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5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5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5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5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5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5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5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5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5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5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5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5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5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5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5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5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5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5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5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5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5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5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5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5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5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5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5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5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5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5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5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5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5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5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5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5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5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5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5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5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5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5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5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5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5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5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5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5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5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5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5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5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5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5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5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5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5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5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5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5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5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5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5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5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5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5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5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A1F01C08-243B-48FC-94A8-F102AEB1706D}">
      <selection activeCell="F150" sqref="F150"/>
      <pageMargins left="0.7" right="0.7" top="0.75" bottom="0.75" header="0.3" footer="0.3"/>
      <pageSetup orientation="portrait" r:id="rId1"/>
    </customSheetView>
    <customSheetView guid="{948164EF-B902-4A6C-8E3C-A935061C5153}" state="hidden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26E5-0011-497D-8F5E-4B2E56443F19}">
  <dimension ref="A1:T50"/>
  <sheetViews>
    <sheetView zoomScale="58" workbookViewId="0"/>
  </sheetViews>
  <sheetFormatPr defaultRowHeight="14.5" x14ac:dyDescent="0.35"/>
  <cols>
    <col min="1" max="1" width="21.7265625" bestFit="1" customWidth="1"/>
    <col min="2" max="2" width="18.26953125" customWidth="1"/>
    <col min="4" max="4" width="20.453125" customWidth="1"/>
    <col min="5" max="5" width="16.7265625" bestFit="1" customWidth="1"/>
    <col min="6" max="6" width="16.7265625" customWidth="1"/>
    <col min="8" max="8" width="21.81640625" customWidth="1"/>
    <col min="9" max="9" width="12.81640625" customWidth="1"/>
    <col min="12" max="12" width="13.7265625" customWidth="1"/>
    <col min="13" max="13" width="18.26953125" customWidth="1"/>
    <col min="15" max="15" width="17.26953125" customWidth="1"/>
    <col min="16" max="16" width="16.81640625" customWidth="1"/>
    <col min="17" max="17" width="14.54296875" customWidth="1"/>
    <col min="18" max="18" width="25" bestFit="1" customWidth="1"/>
    <col min="19" max="19" width="14.453125" customWidth="1"/>
    <col min="20" max="20" width="25" bestFit="1" customWidth="1"/>
  </cols>
  <sheetData>
    <row r="1" spans="1:20" x14ac:dyDescent="0.35">
      <c r="A1" s="9" t="s">
        <v>64</v>
      </c>
      <c r="B1" s="9"/>
      <c r="D1" s="7" t="s">
        <v>69</v>
      </c>
      <c r="E1" s="7"/>
      <c r="F1" s="7"/>
      <c r="H1" s="7" t="s">
        <v>70</v>
      </c>
      <c r="I1" s="7"/>
      <c r="K1" s="7" t="s">
        <v>73</v>
      </c>
      <c r="L1" s="7"/>
      <c r="M1" s="7"/>
      <c r="O1" s="7" t="s">
        <v>74</v>
      </c>
      <c r="P1" s="7"/>
      <c r="Q1" s="7"/>
      <c r="R1" s="7"/>
      <c r="S1" s="7"/>
      <c r="T1" s="7"/>
    </row>
    <row r="2" spans="1:20" x14ac:dyDescent="0.35">
      <c r="A2" s="8" t="s">
        <v>49</v>
      </c>
      <c r="B2" s="8" t="s">
        <v>65</v>
      </c>
      <c r="D2" s="6" t="s">
        <v>49</v>
      </c>
      <c r="E2" s="6" t="s">
        <v>63</v>
      </c>
      <c r="F2" s="6" t="s">
        <v>65</v>
      </c>
      <c r="H2" s="6" t="s">
        <v>49</v>
      </c>
      <c r="I2" s="6" t="s">
        <v>62</v>
      </c>
      <c r="K2" s="6" t="s">
        <v>50</v>
      </c>
      <c r="L2" s="6" t="s">
        <v>68</v>
      </c>
      <c r="M2" s="6" t="s">
        <v>62</v>
      </c>
      <c r="O2" s="6" t="s">
        <v>0</v>
      </c>
      <c r="P2" s="6" t="s">
        <v>62</v>
      </c>
      <c r="Q2" s="6" t="s">
        <v>75</v>
      </c>
      <c r="R2" s="6" t="s">
        <v>76</v>
      </c>
      <c r="S2" s="6" t="s">
        <v>77</v>
      </c>
      <c r="T2" s="6" t="str">
        <f>B18</f>
        <v>Average Wages</v>
      </c>
    </row>
    <row r="3" spans="1:20" x14ac:dyDescent="0.35">
      <c r="A3" t="s">
        <v>57</v>
      </c>
      <c r="B3" t="str">
        <f>Dashboard!B6</f>
        <v>Information</v>
      </c>
      <c r="D3" t="s">
        <v>53</v>
      </c>
      <c r="E3" s="2">
        <f>AVERAGEIFS(Data!F:F,Data!B:B,D3,Data!A:A,$B$15)</f>
        <v>93586.333333333328</v>
      </c>
      <c r="F3" s="2">
        <f>IF(D3=$B$3,E3,0)</f>
        <v>93586.333333333328</v>
      </c>
      <c r="H3" t="s">
        <v>54</v>
      </c>
      <c r="I3" s="1">
        <f>SUMIFS(Data!E:E,Data!B:B,H3,Data!A:A,'Data Prep'!$B$15)</f>
        <v>26277342</v>
      </c>
      <c r="K3">
        <v>2017</v>
      </c>
      <c r="L3" s="2">
        <f>AVERAGEIFS(Data!F:F,Data!B:B,'Data Prep'!$B$3,Data!A:A,'Data Prep'!K3)</f>
        <v>75580.708333333328</v>
      </c>
      <c r="M3" s="1">
        <f>SUMIFS(Data!E:E,Data!B:B,'Data Prep'!$B$3,Data!A:A,'Data Prep'!K3)</f>
        <v>2760656</v>
      </c>
      <c r="O3" t="s">
        <v>1</v>
      </c>
      <c r="P3" s="1">
        <f>SUMIFS(Data!E:E,Data!B:B,'Data Prep'!$B$3,Data!A:A,'Data Prep'!$B$15,Data!C:C,'Data Prep'!O3)</f>
        <v>19310</v>
      </c>
      <c r="Q3" vm="1">
        <v>4887871</v>
      </c>
      <c r="R3" s="10">
        <f>P3/Q3*1000</f>
        <v>3.9505952591629363</v>
      </c>
      <c r="S3" s="2">
        <f>AVERAGEIFS(Data!F:F,Data!B:B,'Data Prep'!$B$3,Data!A:A,'Data Prep'!$B$15,Data!C:C,'Data Prep'!O3)</f>
        <v>69393</v>
      </c>
      <c r="T3" s="11">
        <f>IF($T$2=$S$2,-S3,R3)</f>
        <v>-69393</v>
      </c>
    </row>
    <row r="4" spans="1:20" x14ac:dyDescent="0.35">
      <c r="A4" t="s">
        <v>51</v>
      </c>
      <c r="D4" t="s">
        <v>56</v>
      </c>
      <c r="E4" s="2">
        <f>AVERAGEIFS(Data!F:F,Data!B:B,D4,Data!A:A,$B$15)</f>
        <v>90040.666666666672</v>
      </c>
      <c r="F4" s="2">
        <f t="shared" ref="F4:F12" si="0">IF(D4=$B$3,E4,0)</f>
        <v>0</v>
      </c>
      <c r="H4" t="s">
        <v>58</v>
      </c>
      <c r="I4" s="1">
        <f>SUMIFS(Data!E:E,Data!B:B,H4,Data!A:A,'Data Prep'!$B$15)</f>
        <v>22035033</v>
      </c>
      <c r="K4">
        <v>2018</v>
      </c>
      <c r="L4" s="2">
        <f>AVERAGEIFS(Data!F:F,Data!B:B,'Data Prep'!$B$3,Data!A:A,'Data Prep'!K4)</f>
        <v>79569.104166666672</v>
      </c>
      <c r="M4" s="1">
        <f>SUMIFS(Data!E:E,Data!B:B,'Data Prep'!$B$3,Data!A:A,'Data Prep'!K4)</f>
        <v>2781425</v>
      </c>
      <c r="O4" t="s">
        <v>2</v>
      </c>
      <c r="P4" s="1">
        <f>SUMIFS(Data!E:E,Data!B:B,'Data Prep'!$B$3,Data!A:A,'Data Prep'!$B$15,Data!C:C,'Data Prep'!O4)</f>
        <v>45513</v>
      </c>
      <c r="Q4" vm="2">
        <v>7171646</v>
      </c>
      <c r="R4" s="10">
        <f t="shared" ref="R4:R50" si="1">P4/Q4*1000</f>
        <v>6.3462418529860507</v>
      </c>
      <c r="S4" s="2">
        <f>AVERAGEIFS(Data!F:F,Data!B:B,'Data Prep'!$B$3,Data!A:A,'Data Prep'!$B$15,Data!C:C,'Data Prep'!O4)</f>
        <v>90871</v>
      </c>
      <c r="T4" s="11">
        <f t="shared" ref="T4:T50" si="2">IF($T$2=$S$2,-S4,R4)</f>
        <v>-90871</v>
      </c>
    </row>
    <row r="5" spans="1:20" x14ac:dyDescent="0.35">
      <c r="A5" t="s">
        <v>58</v>
      </c>
      <c r="D5" t="s">
        <v>57</v>
      </c>
      <c r="E5" s="2">
        <f>AVERAGEIFS(Data!F:F,Data!B:B,D5,Data!A:A,$B$15)</f>
        <v>74713.0625</v>
      </c>
      <c r="F5" s="2">
        <f t="shared" si="0"/>
        <v>0</v>
      </c>
      <c r="H5" t="s">
        <v>57</v>
      </c>
      <c r="I5" s="1">
        <f>SUMIFS(Data!E:E,Data!B:B,H5,Data!A:A,'Data Prep'!$B$15)</f>
        <v>20065896</v>
      </c>
      <c r="K5">
        <v>2019</v>
      </c>
      <c r="L5" s="2">
        <f>AVERAGEIFS(Data!F:F,Data!B:B,'Data Prep'!$B$3,Data!A:A,'Data Prep'!K5)</f>
        <v>83493.333333333328</v>
      </c>
      <c r="M5" s="1">
        <f>SUMIFS(Data!E:E,Data!B:B,'Data Prep'!$B$3,Data!A:A,'Data Prep'!K5)</f>
        <v>2815141</v>
      </c>
      <c r="O5" t="s">
        <v>3</v>
      </c>
      <c r="P5" s="1">
        <f>SUMIFS(Data!E:E,Data!B:B,'Data Prep'!$B$3,Data!A:A,'Data Prep'!$B$15,Data!C:C,'Data Prep'!O5)</f>
        <v>11509</v>
      </c>
      <c r="Q5" vm="3">
        <v>3013825</v>
      </c>
      <c r="R5" s="10">
        <f t="shared" si="1"/>
        <v>3.8187353280299954</v>
      </c>
      <c r="S5" s="2">
        <f>AVERAGEIFS(Data!F:F,Data!B:B,'Data Prep'!$B$3,Data!A:A,'Data Prep'!$B$15,Data!C:C,'Data Prep'!O5)</f>
        <v>69820</v>
      </c>
      <c r="T5" s="11">
        <f t="shared" si="2"/>
        <v>-69820</v>
      </c>
    </row>
    <row r="6" spans="1:20" x14ac:dyDescent="0.35">
      <c r="A6" t="s">
        <v>56</v>
      </c>
      <c r="D6" t="s">
        <v>52</v>
      </c>
      <c r="E6" s="2">
        <f>AVERAGEIFS(Data!F:F,Data!B:B,D6,Data!A:A,$B$15)</f>
        <v>68427.875</v>
      </c>
      <c r="F6" s="2">
        <f t="shared" si="0"/>
        <v>0</v>
      </c>
      <c r="H6" t="s">
        <v>59</v>
      </c>
      <c r="I6" s="1">
        <f>SUMIFS(Data!E:E,Data!B:B,H6,Data!A:A,'Data Prep'!$B$15)</f>
        <v>12649500</v>
      </c>
      <c r="K6">
        <v>2020</v>
      </c>
      <c r="L6" s="2">
        <f>AVERAGEIFS(Data!F:F,Data!B:B,'Data Prep'!$B$3,Data!A:A,'Data Prep'!K6)</f>
        <v>93586.333333333328</v>
      </c>
      <c r="M6" s="1">
        <f>SUMIFS(Data!E:E,Data!B:B,'Data Prep'!$B$3,Data!A:A,'Data Prep'!K6)</f>
        <v>2677815</v>
      </c>
      <c r="O6" t="s">
        <v>4</v>
      </c>
      <c r="P6" s="1">
        <f>SUMIFS(Data!E:E,Data!B:B,'Data Prep'!$B$3,Data!A:A,'Data Prep'!$B$15,Data!C:C,'Data Prep'!O6)</f>
        <v>527549</v>
      </c>
      <c r="Q6" vm="4">
        <v>39557045</v>
      </c>
      <c r="R6" s="10">
        <f t="shared" si="1"/>
        <v>13.33641074554482</v>
      </c>
      <c r="S6" s="2">
        <f>AVERAGEIFS(Data!F:F,Data!B:B,'Data Prep'!$B$3,Data!A:A,'Data Prep'!$B$15,Data!C:C,'Data Prep'!O6)</f>
        <v>217892</v>
      </c>
      <c r="T6" s="11">
        <f t="shared" si="2"/>
        <v>-217892</v>
      </c>
    </row>
    <row r="7" spans="1:20" x14ac:dyDescent="0.35">
      <c r="A7" t="s">
        <v>53</v>
      </c>
      <c r="D7" t="s">
        <v>51</v>
      </c>
      <c r="E7" s="2">
        <f>AVERAGEIFS(Data!F:F,Data!B:B,D7,Data!A:A,$B$15)</f>
        <v>63896.895833333336</v>
      </c>
      <c r="F7" s="2">
        <f t="shared" si="0"/>
        <v>0</v>
      </c>
      <c r="H7" t="s">
        <v>52</v>
      </c>
      <c r="I7" s="1">
        <f>SUMIFS(Data!E:E,Data!B:B,H7,Data!A:A,'Data Prep'!$B$15)</f>
        <v>12058694</v>
      </c>
      <c r="O7" t="s">
        <v>5</v>
      </c>
      <c r="P7" s="1">
        <f>SUMIFS(Data!E:E,Data!B:B,'Data Prep'!$B$3,Data!A:A,'Data Prep'!$B$15,Data!C:C,'Data Prep'!O7)</f>
        <v>74867</v>
      </c>
      <c r="Q7" vm="5">
        <v>5695564</v>
      </c>
      <c r="R7" s="10">
        <f t="shared" si="1"/>
        <v>13.144791279669581</v>
      </c>
      <c r="S7" s="2">
        <f>AVERAGEIFS(Data!F:F,Data!B:B,'Data Prep'!$B$3,Data!A:A,'Data Prep'!$B$15,Data!C:C,'Data Prep'!O7)</f>
        <v>123495</v>
      </c>
      <c r="T7" s="11">
        <f t="shared" si="2"/>
        <v>-123495</v>
      </c>
    </row>
    <row r="8" spans="1:20" x14ac:dyDescent="0.35">
      <c r="A8" t="s">
        <v>59</v>
      </c>
      <c r="D8" t="s">
        <v>55</v>
      </c>
      <c r="E8" s="2">
        <f>AVERAGEIFS(Data!F:F,Data!B:B,D8,Data!A:A,$B$15)</f>
        <v>55605.9375</v>
      </c>
      <c r="F8" s="2">
        <f t="shared" si="0"/>
        <v>0</v>
      </c>
      <c r="H8" t="s">
        <v>56</v>
      </c>
      <c r="I8" s="1">
        <f>SUMIFS(Data!E:E,Data!B:B,H8,Data!A:A,'Data Prep'!$B$15)</f>
        <v>8142043</v>
      </c>
      <c r="O8" t="s">
        <v>6</v>
      </c>
      <c r="P8" s="1">
        <f>SUMIFS(Data!E:E,Data!B:B,'Data Prep'!$B$3,Data!A:A,'Data Prep'!$B$15,Data!C:C,'Data Prep'!O8)</f>
        <v>29237</v>
      </c>
      <c r="Q8" vm="6">
        <v>3572665</v>
      </c>
      <c r="R8" s="10">
        <f t="shared" si="1"/>
        <v>8.1835268630000293</v>
      </c>
      <c r="S8" s="2">
        <f>AVERAGEIFS(Data!F:F,Data!B:B,'Data Prep'!$B$3,Data!A:A,'Data Prep'!$B$15,Data!C:C,'Data Prep'!O8)</f>
        <v>138917</v>
      </c>
      <c r="T8" s="11">
        <f t="shared" si="2"/>
        <v>-138917</v>
      </c>
    </row>
    <row r="9" spans="1:20" x14ac:dyDescent="0.35">
      <c r="A9" t="s">
        <v>52</v>
      </c>
      <c r="D9" t="s">
        <v>58</v>
      </c>
      <c r="E9" s="2">
        <f>AVERAGEIFS(Data!F:F,Data!B:B,D9,Data!A:A,$B$15)</f>
        <v>53607.208333333336</v>
      </c>
      <c r="F9" s="2">
        <f t="shared" si="0"/>
        <v>0</v>
      </c>
      <c r="H9" t="s">
        <v>51</v>
      </c>
      <c r="I9" s="1">
        <f>SUMIFS(Data!E:E,Data!B:B,H9,Data!A:A,'Data Prep'!$B$15)</f>
        <v>7136444</v>
      </c>
      <c r="O9" t="s">
        <v>7</v>
      </c>
      <c r="P9" s="1">
        <f>SUMIFS(Data!E:E,Data!B:B,'Data Prep'!$B$3,Data!A:A,'Data Prep'!$B$15,Data!C:C,'Data Prep'!O9)</f>
        <v>3622</v>
      </c>
      <c r="Q9" vm="7">
        <v>967171</v>
      </c>
      <c r="R9" s="10">
        <f t="shared" si="1"/>
        <v>3.744942724709488</v>
      </c>
      <c r="S9" s="2">
        <f>AVERAGEIFS(Data!F:F,Data!B:B,'Data Prep'!$B$3,Data!A:A,'Data Prep'!$B$15,Data!C:C,'Data Prep'!O9)</f>
        <v>78966</v>
      </c>
      <c r="T9" s="11">
        <f t="shared" si="2"/>
        <v>-78966</v>
      </c>
    </row>
    <row r="10" spans="1:20" x14ac:dyDescent="0.35">
      <c r="A10" t="s">
        <v>55</v>
      </c>
      <c r="D10" t="s">
        <v>54</v>
      </c>
      <c r="E10" s="2">
        <f>AVERAGEIFS(Data!F:F,Data!B:B,D10,Data!A:A,$B$15)</f>
        <v>49366.8125</v>
      </c>
      <c r="F10" s="2">
        <f t="shared" si="0"/>
        <v>0</v>
      </c>
      <c r="H10" t="s">
        <v>60</v>
      </c>
      <c r="I10" s="1">
        <f>SUMIFS(Data!E:E,Data!B:B,H10,Data!A:A,'Data Prep'!$B$15)</f>
        <v>3843699</v>
      </c>
      <c r="O10" t="s">
        <v>8</v>
      </c>
      <c r="P10" s="1">
        <f>SUMIFS(Data!E:E,Data!B:B,'Data Prep'!$B$3,Data!A:A,'Data Prep'!$B$15,Data!C:C,'Data Prep'!O10)</f>
        <v>130298</v>
      </c>
      <c r="Q10" vm="8">
        <v>21670000</v>
      </c>
      <c r="R10" s="10">
        <f t="shared" si="1"/>
        <v>6.0128287955699129</v>
      </c>
      <c r="S10" s="2">
        <f>AVERAGEIFS(Data!F:F,Data!B:B,'Data Prep'!$B$3,Data!A:A,'Data Prep'!$B$15,Data!C:C,'Data Prep'!O10)</f>
        <v>93350</v>
      </c>
      <c r="T10" s="11">
        <f t="shared" si="2"/>
        <v>-93350</v>
      </c>
    </row>
    <row r="11" spans="1:20" x14ac:dyDescent="0.35">
      <c r="A11" t="s">
        <v>60</v>
      </c>
      <c r="D11" t="s">
        <v>60</v>
      </c>
      <c r="E11" s="2">
        <f>AVERAGEIFS(Data!F:F,Data!B:B,D11,Data!A:A,$B$15)</f>
        <v>40790.1875</v>
      </c>
      <c r="F11" s="2">
        <f t="shared" si="0"/>
        <v>0</v>
      </c>
      <c r="H11" t="s">
        <v>53</v>
      </c>
      <c r="I11" s="1">
        <f>SUMIFS(Data!E:E,Data!B:B,H11,Data!A:A,'Data Prep'!$B$15)</f>
        <v>2677815</v>
      </c>
      <c r="O11" t="s">
        <v>9</v>
      </c>
      <c r="P11" s="1">
        <f>SUMIFS(Data!E:E,Data!B:B,'Data Prep'!$B$3,Data!A:A,'Data Prep'!$B$15,Data!C:C,'Data Prep'!O11)</f>
        <v>109190</v>
      </c>
      <c r="Q11" vm="9">
        <v>10519475</v>
      </c>
      <c r="R11" s="10">
        <f t="shared" si="1"/>
        <v>10.379795569645824</v>
      </c>
      <c r="S11" s="2">
        <f>AVERAGEIFS(Data!F:F,Data!B:B,'Data Prep'!$B$3,Data!A:A,'Data Prep'!$B$15,Data!C:C,'Data Prep'!O11)</f>
        <v>108735</v>
      </c>
      <c r="T11" s="11">
        <f t="shared" si="2"/>
        <v>-108735</v>
      </c>
    </row>
    <row r="12" spans="1:20" x14ac:dyDescent="0.35">
      <c r="A12" t="s">
        <v>54</v>
      </c>
      <c r="D12" t="s">
        <v>59</v>
      </c>
      <c r="E12" s="2">
        <f>AVERAGEIFS(Data!F:F,Data!B:B,D12,Data!A:A,$B$15)</f>
        <v>23286.416666666668</v>
      </c>
      <c r="F12" s="2">
        <f t="shared" si="0"/>
        <v>0</v>
      </c>
      <c r="H12" t="s">
        <v>55</v>
      </c>
      <c r="I12" s="1">
        <f>SUMIFS(Data!E:E,Data!B:B,H12,Data!A:A,'Data Prep'!$B$15)</f>
        <v>1762873</v>
      </c>
      <c r="O12" t="s">
        <v>10</v>
      </c>
      <c r="P12" s="1">
        <f>SUMIFS(Data!E:E,Data!B:B,'Data Prep'!$B$3,Data!A:A,'Data Prep'!$B$15,Data!C:C,'Data Prep'!O12)</f>
        <v>7346</v>
      </c>
      <c r="Q12" vm="10">
        <v>1754208</v>
      </c>
      <c r="R12" s="10">
        <f t="shared" si="1"/>
        <v>4.1876447946879729</v>
      </c>
      <c r="S12" s="2">
        <f>AVERAGEIFS(Data!F:F,Data!B:B,'Data Prep'!$B$3,Data!A:A,'Data Prep'!$B$15,Data!C:C,'Data Prep'!O12)</f>
        <v>64408</v>
      </c>
      <c r="T12" s="11">
        <f t="shared" si="2"/>
        <v>-64408</v>
      </c>
    </row>
    <row r="13" spans="1:20" x14ac:dyDescent="0.35">
      <c r="O13" t="s">
        <v>11</v>
      </c>
      <c r="P13" s="1">
        <f>SUMIFS(Data!E:E,Data!B:B,'Data Prep'!$B$3,Data!A:A,'Data Prep'!$B$15,Data!C:C,'Data Prep'!O13)</f>
        <v>87520</v>
      </c>
      <c r="Q13" vm="11">
        <v>12741080</v>
      </c>
      <c r="R13" s="10">
        <f t="shared" si="1"/>
        <v>6.8691194153085924</v>
      </c>
      <c r="S13" s="2">
        <f>AVERAGEIFS(Data!F:F,Data!B:B,'Data Prep'!$B$3,Data!A:A,'Data Prep'!$B$15,Data!C:C,'Data Prep'!O13)</f>
        <v>110059</v>
      </c>
      <c r="T13" s="11">
        <f t="shared" si="2"/>
        <v>-110059</v>
      </c>
    </row>
    <row r="14" spans="1:20" x14ac:dyDescent="0.35">
      <c r="A14" s="9" t="s">
        <v>66</v>
      </c>
      <c r="B14" s="9"/>
      <c r="H14" s="7" t="s">
        <v>71</v>
      </c>
      <c r="I14" s="7"/>
      <c r="O14" t="s">
        <v>12</v>
      </c>
      <c r="P14" s="1">
        <f>SUMIFS(Data!E:E,Data!B:B,'Data Prep'!$B$3,Data!A:A,'Data Prep'!$B$15,Data!C:C,'Data Prep'!O14)</f>
        <v>26075</v>
      </c>
      <c r="Q14" vm="12">
        <v>6691878</v>
      </c>
      <c r="R14" s="10">
        <f t="shared" si="1"/>
        <v>3.8965145509227757</v>
      </c>
      <c r="S14" s="2">
        <f>AVERAGEIFS(Data!F:F,Data!B:B,'Data Prep'!$B$3,Data!A:A,'Data Prep'!$B$15,Data!C:C,'Data Prep'!O14)</f>
        <v>67191</v>
      </c>
      <c r="T14" s="11">
        <f t="shared" si="2"/>
        <v>-67191</v>
      </c>
    </row>
    <row r="15" spans="1:20" x14ac:dyDescent="0.35">
      <c r="A15" s="5" t="s">
        <v>67</v>
      </c>
      <c r="B15" s="4">
        <v>2020</v>
      </c>
      <c r="D15" t="str">
        <f>INDEX(D3:D12,10)</f>
        <v>Leisure &amp; Hospitality</v>
      </c>
      <c r="H15" s="6" t="s">
        <v>49</v>
      </c>
      <c r="I15" s="6" t="s">
        <v>62</v>
      </c>
      <c r="O15" t="s">
        <v>13</v>
      </c>
      <c r="P15" s="1">
        <f>SUMIFS(Data!E:E,Data!B:B,'Data Prep'!$B$3,Data!A:A,'Data Prep'!$B$15,Data!C:C,'Data Prep'!O15)</f>
        <v>19135</v>
      </c>
      <c r="Q15" vm="13">
        <v>3156145</v>
      </c>
      <c r="R15" s="10">
        <f t="shared" si="1"/>
        <v>6.0627759497741707</v>
      </c>
      <c r="S15" s="2">
        <f>AVERAGEIFS(Data!F:F,Data!B:B,'Data Prep'!$B$3,Data!A:A,'Data Prep'!$B$15,Data!C:C,'Data Prep'!O15)</f>
        <v>66858</v>
      </c>
      <c r="T15" s="11">
        <f t="shared" si="2"/>
        <v>-66858</v>
      </c>
    </row>
    <row r="16" spans="1:20" x14ac:dyDescent="0.35">
      <c r="H16" t="str">
        <f>B3</f>
        <v>Information</v>
      </c>
      <c r="I16" s="1">
        <f>VLOOKUP(B3,H3:I12,2,0)</f>
        <v>2677815</v>
      </c>
      <c r="O16" t="s">
        <v>14</v>
      </c>
      <c r="P16" s="1">
        <f>SUMIFS(Data!E:E,Data!B:B,'Data Prep'!$B$3,Data!A:A,'Data Prep'!$B$15,Data!C:C,'Data Prep'!O16)</f>
        <v>16734</v>
      </c>
      <c r="Q16" vm="14">
        <v>2911505</v>
      </c>
      <c r="R16" s="10">
        <f t="shared" si="1"/>
        <v>5.7475429374155294</v>
      </c>
      <c r="S16" s="2">
        <f>AVERAGEIFS(Data!F:F,Data!B:B,'Data Prep'!$B$3,Data!A:A,'Data Prep'!$B$15,Data!C:C,'Data Prep'!O16)</f>
        <v>73749</v>
      </c>
      <c r="T16" s="11">
        <f t="shared" si="2"/>
        <v>-73749</v>
      </c>
    </row>
    <row r="17" spans="1:20" x14ac:dyDescent="0.35">
      <c r="A17" s="9" t="s">
        <v>78</v>
      </c>
      <c r="B17" s="9"/>
      <c r="H17" t="s">
        <v>72</v>
      </c>
      <c r="I17" s="1">
        <f>SUM(I3:I12)-I16</f>
        <v>113971524</v>
      </c>
      <c r="O17" t="s">
        <v>15</v>
      </c>
      <c r="P17" s="1">
        <f>SUMIFS(Data!E:E,Data!B:B,'Data Prep'!$B$3,Data!A:A,'Data Prep'!$B$15,Data!C:C,'Data Prep'!O17)</f>
        <v>20268</v>
      </c>
      <c r="Q17" vm="15">
        <v>4468402</v>
      </c>
      <c r="R17" s="10">
        <f t="shared" si="1"/>
        <v>4.5358497288292332</v>
      </c>
      <c r="S17" s="2">
        <f>AVERAGEIFS(Data!F:F,Data!B:B,'Data Prep'!$B$3,Data!A:A,'Data Prep'!$B$15,Data!C:C,'Data Prep'!O17)</f>
        <v>63462</v>
      </c>
      <c r="T17" s="11">
        <f t="shared" si="2"/>
        <v>-63462</v>
      </c>
    </row>
    <row r="18" spans="1:20" x14ac:dyDescent="0.35">
      <c r="A18" s="5" t="s">
        <v>79</v>
      </c>
      <c r="B18" s="4" t="str">
        <f>IF(Dashboard!A2=1,'Data Prep'!S2,'Data Prep'!R2)</f>
        <v>Average Wages</v>
      </c>
      <c r="O18" t="s">
        <v>16</v>
      </c>
      <c r="P18" s="1">
        <f>SUMIFS(Data!E:E,Data!B:B,'Data Prep'!$B$3,Data!A:A,'Data Prep'!$B$15,Data!C:C,'Data Prep'!O18)</f>
        <v>18712</v>
      </c>
      <c r="Q18" vm="16">
        <v>4659978</v>
      </c>
      <c r="R18" s="10">
        <f t="shared" si="1"/>
        <v>4.015469600929447</v>
      </c>
      <c r="S18" s="2">
        <f>AVERAGEIFS(Data!F:F,Data!B:B,'Data Prep'!$B$3,Data!A:A,'Data Prep'!$B$15,Data!C:C,'Data Prep'!O18)</f>
        <v>65700</v>
      </c>
      <c r="T18" s="11">
        <f t="shared" si="2"/>
        <v>-65700</v>
      </c>
    </row>
    <row r="19" spans="1:20" x14ac:dyDescent="0.35">
      <c r="H19" s="5" t="s">
        <v>80</v>
      </c>
      <c r="I19" s="13">
        <f>I16/SUM(I16:I17)</f>
        <v>2.2956109506972858E-2</v>
      </c>
      <c r="O19" t="s">
        <v>17</v>
      </c>
      <c r="P19" s="1">
        <f>SUMIFS(Data!E:E,Data!B:B,'Data Prep'!$B$3,Data!A:A,'Data Prep'!$B$15,Data!C:C,'Data Prep'!O19)</f>
        <v>6415</v>
      </c>
      <c r="Q19" vm="17">
        <v>1338404</v>
      </c>
      <c r="R19" s="10">
        <f t="shared" si="1"/>
        <v>4.7930221368136978</v>
      </c>
      <c r="S19" s="2">
        <f>AVERAGEIFS(Data!F:F,Data!B:B,'Data Prep'!$B$3,Data!A:A,'Data Prep'!$B$15,Data!C:C,'Data Prep'!O19)</f>
        <v>64265</v>
      </c>
      <c r="T19" s="11">
        <f t="shared" si="2"/>
        <v>-64265</v>
      </c>
    </row>
    <row r="20" spans="1:20" x14ac:dyDescent="0.35">
      <c r="O20" t="s">
        <v>18</v>
      </c>
      <c r="P20" s="1">
        <f>SUMIFS(Data!E:E,Data!B:B,'Data Prep'!$B$3,Data!A:A,'Data Prep'!$B$15,Data!C:C,'Data Prep'!O20)</f>
        <v>33029</v>
      </c>
      <c r="Q20" vm="18">
        <v>6042718</v>
      </c>
      <c r="R20" s="10">
        <f t="shared" si="1"/>
        <v>5.4659178204245169</v>
      </c>
      <c r="S20" s="2">
        <f>AVERAGEIFS(Data!F:F,Data!B:B,'Data Prep'!$B$3,Data!A:A,'Data Prep'!$B$15,Data!C:C,'Data Prep'!O20)</f>
        <v>110569</v>
      </c>
      <c r="T20" s="11">
        <f t="shared" si="2"/>
        <v>-110569</v>
      </c>
    </row>
    <row r="21" spans="1:20" x14ac:dyDescent="0.35">
      <c r="O21" t="s">
        <v>19</v>
      </c>
      <c r="P21" s="1">
        <f>SUMIFS(Data!E:E,Data!B:B,'Data Prep'!$B$3,Data!A:A,'Data Prep'!$B$15,Data!C:C,'Data Prep'!O21)</f>
        <v>89231</v>
      </c>
      <c r="Q21" vm="19">
        <v>6902149</v>
      </c>
      <c r="R21" s="10">
        <f t="shared" si="1"/>
        <v>12.928002568475412</v>
      </c>
      <c r="S21" s="2">
        <f>AVERAGEIFS(Data!F:F,Data!B:B,'Data Prep'!$B$3,Data!A:A,'Data Prep'!$B$15,Data!C:C,'Data Prep'!O21)</f>
        <v>146746</v>
      </c>
      <c r="T21" s="11">
        <f t="shared" si="2"/>
        <v>-146746</v>
      </c>
    </row>
    <row r="22" spans="1:20" x14ac:dyDescent="0.35">
      <c r="O22" t="s">
        <v>20</v>
      </c>
      <c r="P22" s="1">
        <f>SUMIFS(Data!E:E,Data!B:B,'Data Prep'!$B$3,Data!A:A,'Data Prep'!$B$15,Data!C:C,'Data Prep'!O22)</f>
        <v>50511</v>
      </c>
      <c r="Q22" vm="20">
        <v>9995915</v>
      </c>
      <c r="R22" s="10">
        <f t="shared" si="1"/>
        <v>5.053164217582883</v>
      </c>
      <c r="S22" s="2">
        <f>AVERAGEIFS(Data!F:F,Data!B:B,'Data Prep'!$B$3,Data!A:A,'Data Prep'!$B$15,Data!C:C,'Data Prep'!O22)</f>
        <v>88745</v>
      </c>
      <c r="T22" s="11">
        <f t="shared" si="2"/>
        <v>-88745</v>
      </c>
    </row>
    <row r="23" spans="1:20" x14ac:dyDescent="0.35">
      <c r="O23" t="s">
        <v>21</v>
      </c>
      <c r="P23" s="1">
        <f>SUMIFS(Data!E:E,Data!B:B,'Data Prep'!$B$3,Data!A:A,'Data Prep'!$B$15,Data!C:C,'Data Prep'!O23)</f>
        <v>43145</v>
      </c>
      <c r="Q23" vm="21">
        <v>5611179</v>
      </c>
      <c r="R23" s="10">
        <f t="shared" si="1"/>
        <v>7.6891148901148938</v>
      </c>
      <c r="S23" s="2">
        <f>AVERAGEIFS(Data!F:F,Data!B:B,'Data Prep'!$B$3,Data!A:A,'Data Prep'!$B$15,Data!C:C,'Data Prep'!O23)</f>
        <v>92292</v>
      </c>
      <c r="T23" s="11">
        <f t="shared" si="2"/>
        <v>-92292</v>
      </c>
    </row>
    <row r="24" spans="1:20" x14ac:dyDescent="0.35">
      <c r="O24" t="s">
        <v>22</v>
      </c>
      <c r="P24" s="1">
        <f>SUMIFS(Data!E:E,Data!B:B,'Data Prep'!$B$3,Data!A:A,'Data Prep'!$B$15,Data!C:C,'Data Prep'!O24)</f>
        <v>9629</v>
      </c>
      <c r="Q24" vm="22">
        <v>2963914</v>
      </c>
      <c r="R24" s="10">
        <f t="shared" si="1"/>
        <v>3.2487447341589535</v>
      </c>
      <c r="S24" s="2">
        <f>AVERAGEIFS(Data!F:F,Data!B:B,'Data Prep'!$B$3,Data!A:A,'Data Prep'!$B$15,Data!C:C,'Data Prep'!O24)</f>
        <v>54301</v>
      </c>
      <c r="T24" s="11">
        <f t="shared" si="2"/>
        <v>-54301</v>
      </c>
    </row>
    <row r="25" spans="1:20" x14ac:dyDescent="0.35">
      <c r="O25" t="s">
        <v>23</v>
      </c>
      <c r="P25" s="1">
        <f>SUMIFS(Data!E:E,Data!B:B,'Data Prep'!$B$3,Data!A:A,'Data Prep'!$B$15,Data!C:C,'Data Prep'!O25)</f>
        <v>43675</v>
      </c>
      <c r="Q25" vm="23">
        <v>6126452</v>
      </c>
      <c r="R25" s="10">
        <f t="shared" si="1"/>
        <v>7.1289222538591668</v>
      </c>
      <c r="S25" s="2">
        <f>AVERAGEIFS(Data!F:F,Data!B:B,'Data Prep'!$B$3,Data!A:A,'Data Prep'!$B$15,Data!C:C,'Data Prep'!O25)</f>
        <v>89327</v>
      </c>
      <c r="T25" s="11">
        <f t="shared" si="2"/>
        <v>-89327</v>
      </c>
    </row>
    <row r="26" spans="1:20" x14ac:dyDescent="0.35">
      <c r="O26" t="s">
        <v>24</v>
      </c>
      <c r="P26" s="1">
        <f>SUMIFS(Data!E:E,Data!B:B,'Data Prep'!$B$3,Data!A:A,'Data Prep'!$B$15,Data!C:C,'Data Prep'!O26)</f>
        <v>5797</v>
      </c>
      <c r="Q26" vm="24">
        <v>1062305</v>
      </c>
      <c r="R26" s="10">
        <f t="shared" si="1"/>
        <v>5.4570015202790154</v>
      </c>
      <c r="S26" s="2">
        <f>AVERAGEIFS(Data!F:F,Data!B:B,'Data Prep'!$B$3,Data!A:A,'Data Prep'!$B$15,Data!C:C,'Data Prep'!O26)</f>
        <v>65673</v>
      </c>
      <c r="T26" s="11">
        <f t="shared" si="2"/>
        <v>-65673</v>
      </c>
    </row>
    <row r="27" spans="1:20" x14ac:dyDescent="0.35">
      <c r="O27" t="s">
        <v>25</v>
      </c>
      <c r="P27" s="1">
        <f>SUMIFS(Data!E:E,Data!B:B,'Data Prep'!$B$3,Data!A:A,'Data Prep'!$B$15,Data!C:C,'Data Prep'!O27)</f>
        <v>16165</v>
      </c>
      <c r="Q27" vm="25">
        <v>1929268</v>
      </c>
      <c r="R27" s="10">
        <f t="shared" si="1"/>
        <v>8.3788255441960366</v>
      </c>
      <c r="S27" s="2">
        <f>AVERAGEIFS(Data!F:F,Data!B:B,'Data Prep'!$B$3,Data!A:A,'Data Prep'!$B$15,Data!C:C,'Data Prep'!O27)</f>
        <v>76361</v>
      </c>
      <c r="T27" s="11">
        <f t="shared" si="2"/>
        <v>-76361</v>
      </c>
    </row>
    <row r="28" spans="1:20" x14ac:dyDescent="0.35">
      <c r="O28" t="s">
        <v>26</v>
      </c>
      <c r="P28" s="1">
        <f>SUMIFS(Data!E:E,Data!B:B,'Data Prep'!$B$3,Data!A:A,'Data Prep'!$B$15,Data!C:C,'Data Prep'!O28)</f>
        <v>13306</v>
      </c>
      <c r="Q28" vm="26">
        <v>3034392</v>
      </c>
      <c r="R28" s="10">
        <f t="shared" si="1"/>
        <v>4.3850629714288729</v>
      </c>
      <c r="S28" s="2">
        <f>AVERAGEIFS(Data!F:F,Data!B:B,'Data Prep'!$B$3,Data!A:A,'Data Prep'!$B$15,Data!C:C,'Data Prep'!O28)</f>
        <v>88353</v>
      </c>
      <c r="T28" s="11">
        <f t="shared" si="2"/>
        <v>-88353</v>
      </c>
    </row>
    <row r="29" spans="1:20" x14ac:dyDescent="0.35">
      <c r="O29" t="s">
        <v>27</v>
      </c>
      <c r="P29" s="1">
        <f>SUMIFS(Data!E:E,Data!B:B,'Data Prep'!$B$3,Data!A:A,'Data Prep'!$B$15,Data!C:C,'Data Prep'!O29)</f>
        <v>11735</v>
      </c>
      <c r="Q29" vm="27">
        <v>1356458</v>
      </c>
      <c r="R29" s="10">
        <f t="shared" si="1"/>
        <v>8.651207777903922</v>
      </c>
      <c r="S29" s="2">
        <f>AVERAGEIFS(Data!F:F,Data!B:B,'Data Prep'!$B$3,Data!A:A,'Data Prep'!$B$15,Data!C:C,'Data Prep'!O29)</f>
        <v>107194</v>
      </c>
      <c r="T29" s="11">
        <f t="shared" si="2"/>
        <v>-107194</v>
      </c>
    </row>
    <row r="30" spans="1:20" x14ac:dyDescent="0.35">
      <c r="O30" t="s">
        <v>28</v>
      </c>
      <c r="P30" s="1">
        <f>SUMIFS(Data!E:E,Data!B:B,'Data Prep'!$B$3,Data!A:A,'Data Prep'!$B$15,Data!C:C,'Data Prep'!O30)</f>
        <v>67885</v>
      </c>
      <c r="Q30" vm="28">
        <v>8908520</v>
      </c>
      <c r="R30" s="10">
        <f t="shared" si="1"/>
        <v>7.6202332149447942</v>
      </c>
      <c r="S30" s="2">
        <f>AVERAGEIFS(Data!F:F,Data!B:B,'Data Prep'!$B$3,Data!A:A,'Data Prep'!$B$15,Data!C:C,'Data Prep'!O30)</f>
        <v>130541</v>
      </c>
      <c r="T30" s="11">
        <f t="shared" si="2"/>
        <v>-130541</v>
      </c>
    </row>
    <row r="31" spans="1:20" x14ac:dyDescent="0.35">
      <c r="O31" t="s">
        <v>29</v>
      </c>
      <c r="P31" s="1">
        <f>SUMIFS(Data!E:E,Data!B:B,'Data Prep'!$B$3,Data!A:A,'Data Prep'!$B$15,Data!C:C,'Data Prep'!O31)</f>
        <v>9076</v>
      </c>
      <c r="Q31" vm="29">
        <v>2095428</v>
      </c>
      <c r="R31" s="10">
        <f t="shared" si="1"/>
        <v>4.3313346963007078</v>
      </c>
      <c r="S31" s="2">
        <f>AVERAGEIFS(Data!F:F,Data!B:B,'Data Prep'!$B$3,Data!A:A,'Data Prep'!$B$15,Data!C:C,'Data Prep'!O31)</f>
        <v>62393</v>
      </c>
      <c r="T31" s="11">
        <f t="shared" si="2"/>
        <v>-62393</v>
      </c>
    </row>
    <row r="32" spans="1:20" x14ac:dyDescent="0.35">
      <c r="O32" t="s">
        <v>30</v>
      </c>
      <c r="P32" s="1">
        <f>SUMIFS(Data!E:E,Data!B:B,'Data Prep'!$B$3,Data!A:A,'Data Prep'!$B$15,Data!C:C,'Data Prep'!O32)</f>
        <v>267749</v>
      </c>
      <c r="Q32" vm="30">
        <v>19542209</v>
      </c>
      <c r="R32" s="10">
        <f t="shared" si="1"/>
        <v>13.701061123642674</v>
      </c>
      <c r="S32" s="2">
        <f>AVERAGEIFS(Data!F:F,Data!B:B,'Data Prep'!$B$3,Data!A:A,'Data Prep'!$B$15,Data!C:C,'Data Prep'!O32)</f>
        <v>154357</v>
      </c>
      <c r="T32" s="11">
        <f t="shared" si="2"/>
        <v>-154357</v>
      </c>
    </row>
    <row r="33" spans="15:20" x14ac:dyDescent="0.35">
      <c r="O33" t="s">
        <v>31</v>
      </c>
      <c r="P33" s="1">
        <f>SUMIFS(Data!E:E,Data!B:B,'Data Prep'!$B$3,Data!A:A,'Data Prep'!$B$15,Data!C:C,'Data Prep'!O33)</f>
        <v>73440</v>
      </c>
      <c r="Q33" vm="31">
        <v>10383620</v>
      </c>
      <c r="R33" s="10">
        <f t="shared" si="1"/>
        <v>7.0726779292770727</v>
      </c>
      <c r="S33" s="2">
        <f>AVERAGEIFS(Data!F:F,Data!B:B,'Data Prep'!$B$3,Data!A:A,'Data Prep'!$B$15,Data!C:C,'Data Prep'!O33)</f>
        <v>96207</v>
      </c>
      <c r="T33" s="11">
        <f t="shared" si="2"/>
        <v>-96207</v>
      </c>
    </row>
    <row r="34" spans="15:20" x14ac:dyDescent="0.35">
      <c r="O34" t="s">
        <v>32</v>
      </c>
      <c r="P34" s="1">
        <f>SUMIFS(Data!E:E,Data!B:B,'Data Prep'!$B$3,Data!A:A,'Data Prep'!$B$15,Data!C:C,'Data Prep'!O34)</f>
        <v>5780</v>
      </c>
      <c r="Q34" vm="32">
        <v>760077</v>
      </c>
      <c r="R34" s="10">
        <f t="shared" si="1"/>
        <v>7.6044927027130145</v>
      </c>
      <c r="S34" s="2">
        <f>AVERAGEIFS(Data!F:F,Data!B:B,'Data Prep'!$B$3,Data!A:A,'Data Prep'!$B$15,Data!C:C,'Data Prep'!O34)</f>
        <v>79624</v>
      </c>
      <c r="T34" s="11">
        <f t="shared" si="2"/>
        <v>-79624</v>
      </c>
    </row>
    <row r="35" spans="15:20" x14ac:dyDescent="0.35">
      <c r="O35" t="s">
        <v>33</v>
      </c>
      <c r="P35" s="1">
        <f>SUMIFS(Data!E:E,Data!B:B,'Data Prep'!$B$3,Data!A:A,'Data Prep'!$B$15,Data!C:C,'Data Prep'!O35)</f>
        <v>63865</v>
      </c>
      <c r="Q35" vm="33">
        <v>11689442</v>
      </c>
      <c r="R35" s="10">
        <f t="shared" si="1"/>
        <v>5.4634772130269349</v>
      </c>
      <c r="S35" s="2">
        <f>AVERAGEIFS(Data!F:F,Data!B:B,'Data Prep'!$B$3,Data!A:A,'Data Prep'!$B$15,Data!C:C,'Data Prep'!O35)</f>
        <v>80052</v>
      </c>
      <c r="T35" s="11">
        <f t="shared" si="2"/>
        <v>-80052</v>
      </c>
    </row>
    <row r="36" spans="15:20" x14ac:dyDescent="0.35">
      <c r="O36" t="s">
        <v>34</v>
      </c>
      <c r="P36" s="1">
        <f>SUMIFS(Data!E:E,Data!B:B,'Data Prep'!$B$3,Data!A:A,'Data Prep'!$B$15,Data!C:C,'Data Prep'!O36)</f>
        <v>18256</v>
      </c>
      <c r="Q36" vm="34">
        <v>3943079</v>
      </c>
      <c r="R36" s="10">
        <f t="shared" si="1"/>
        <v>4.6298844126633023</v>
      </c>
      <c r="S36" s="2">
        <f>AVERAGEIFS(Data!F:F,Data!B:B,'Data Prep'!$B$3,Data!A:A,'Data Prep'!$B$15,Data!C:C,'Data Prep'!O36)</f>
        <v>63710</v>
      </c>
      <c r="T36" s="11">
        <f t="shared" si="2"/>
        <v>-63710</v>
      </c>
    </row>
    <row r="37" spans="15:20" x14ac:dyDescent="0.35">
      <c r="O37" t="s">
        <v>35</v>
      </c>
      <c r="P37" s="1">
        <f>SUMIFS(Data!E:E,Data!B:B,'Data Prep'!$B$3,Data!A:A,'Data Prep'!$B$15,Data!C:C,'Data Prep'!O37)</f>
        <v>33218</v>
      </c>
      <c r="Q37" vm="35">
        <v>4190713</v>
      </c>
      <c r="R37" s="10">
        <f t="shared" si="1"/>
        <v>7.9265747857226208</v>
      </c>
      <c r="S37" s="2">
        <f>AVERAGEIFS(Data!F:F,Data!B:B,'Data Prep'!$B$3,Data!A:A,'Data Prep'!$B$15,Data!C:C,'Data Prep'!O37)</f>
        <v>101737</v>
      </c>
      <c r="T37" s="11">
        <f t="shared" si="2"/>
        <v>-101737</v>
      </c>
    </row>
    <row r="38" spans="15:20" x14ac:dyDescent="0.35">
      <c r="O38" t="s">
        <v>36</v>
      </c>
      <c r="P38" s="1">
        <f>SUMIFS(Data!E:E,Data!B:B,'Data Prep'!$B$3,Data!A:A,'Data Prep'!$B$15,Data!C:C,'Data Prep'!O38)</f>
        <v>82872</v>
      </c>
      <c r="Q38" vm="36">
        <v>12807060</v>
      </c>
      <c r="R38" s="10">
        <f t="shared" si="1"/>
        <v>6.4708059460953571</v>
      </c>
      <c r="S38" s="2">
        <f>AVERAGEIFS(Data!F:F,Data!B:B,'Data Prep'!$B$3,Data!A:A,'Data Prep'!$B$15,Data!C:C,'Data Prep'!O38)</f>
        <v>107388</v>
      </c>
      <c r="T38" s="11">
        <f t="shared" si="2"/>
        <v>-107388</v>
      </c>
    </row>
    <row r="39" spans="15:20" x14ac:dyDescent="0.35">
      <c r="O39" t="s">
        <v>37</v>
      </c>
      <c r="P39" s="1">
        <f>SUMIFS(Data!E:E,Data!B:B,'Data Prep'!$B$3,Data!A:A,'Data Prep'!$B$15,Data!C:C,'Data Prep'!O39)</f>
        <v>5243</v>
      </c>
      <c r="Q39" vm="37">
        <v>1057315</v>
      </c>
      <c r="R39" s="10">
        <f t="shared" si="1"/>
        <v>4.9587871164222586</v>
      </c>
      <c r="S39" s="2">
        <f>AVERAGEIFS(Data!F:F,Data!B:B,'Data Prep'!$B$3,Data!A:A,'Data Prep'!$B$15,Data!C:C,'Data Prep'!O39)</f>
        <v>87286</v>
      </c>
      <c r="T39" s="11">
        <f t="shared" si="2"/>
        <v>-87286</v>
      </c>
    </row>
    <row r="40" spans="15:20" x14ac:dyDescent="0.35">
      <c r="O40" t="s">
        <v>38</v>
      </c>
      <c r="P40" s="1">
        <f>SUMIFS(Data!E:E,Data!B:B,'Data Prep'!$B$3,Data!A:A,'Data Prep'!$B$15,Data!C:C,'Data Prep'!O40)</f>
        <v>24744</v>
      </c>
      <c r="Q40" vm="38">
        <v>5084127</v>
      </c>
      <c r="R40" s="10">
        <f t="shared" si="1"/>
        <v>4.8669122545522558</v>
      </c>
      <c r="S40" s="2">
        <f>AVERAGEIFS(Data!F:F,Data!B:B,'Data Prep'!$B$3,Data!A:A,'Data Prep'!$B$15,Data!C:C,'Data Prep'!O40)</f>
        <v>73562</v>
      </c>
      <c r="T40" s="11">
        <f t="shared" si="2"/>
        <v>-73562</v>
      </c>
    </row>
    <row r="41" spans="15:20" x14ac:dyDescent="0.35">
      <c r="O41" t="s">
        <v>39</v>
      </c>
      <c r="P41" s="1">
        <f>SUMIFS(Data!E:E,Data!B:B,'Data Prep'!$B$3,Data!A:A,'Data Prep'!$B$15,Data!C:C,'Data Prep'!O41)</f>
        <v>5074</v>
      </c>
      <c r="Q41" vm="39">
        <v>882235</v>
      </c>
      <c r="R41" s="10">
        <f t="shared" si="1"/>
        <v>5.7513020907127919</v>
      </c>
      <c r="S41" s="2">
        <f>AVERAGEIFS(Data!F:F,Data!B:B,'Data Prep'!$B$3,Data!A:A,'Data Prep'!$B$15,Data!C:C,'Data Prep'!O41)</f>
        <v>58069</v>
      </c>
      <c r="T41" s="11">
        <f t="shared" si="2"/>
        <v>-58069</v>
      </c>
    </row>
    <row r="42" spans="15:20" x14ac:dyDescent="0.35">
      <c r="O42" t="s">
        <v>40</v>
      </c>
      <c r="P42" s="1">
        <f>SUMIFS(Data!E:E,Data!B:B,'Data Prep'!$B$3,Data!A:A,'Data Prep'!$B$15,Data!C:C,'Data Prep'!O42)</f>
        <v>42929</v>
      </c>
      <c r="Q42" vm="40">
        <v>6770010</v>
      </c>
      <c r="R42" s="10">
        <f t="shared" si="1"/>
        <v>6.3410541491076087</v>
      </c>
      <c r="S42" s="2">
        <f>AVERAGEIFS(Data!F:F,Data!B:B,'Data Prep'!$B$3,Data!A:A,'Data Prep'!$B$15,Data!C:C,'Data Prep'!O42)</f>
        <v>81293</v>
      </c>
      <c r="T42" s="11">
        <f t="shared" si="2"/>
        <v>-81293</v>
      </c>
    </row>
    <row r="43" spans="15:20" x14ac:dyDescent="0.35">
      <c r="O43" t="s">
        <v>41</v>
      </c>
      <c r="P43" s="1">
        <f>SUMIFS(Data!E:E,Data!B:B,'Data Prep'!$B$3,Data!A:A,'Data Prep'!$B$15,Data!C:C,'Data Prep'!O43)</f>
        <v>198521</v>
      </c>
      <c r="Q43" vm="41">
        <v>28701845</v>
      </c>
      <c r="R43" s="10">
        <f t="shared" si="1"/>
        <v>6.9166633712919854</v>
      </c>
      <c r="S43" s="2">
        <f>AVERAGEIFS(Data!F:F,Data!B:B,'Data Prep'!$B$3,Data!A:A,'Data Prep'!$B$15,Data!C:C,'Data Prep'!O43)</f>
        <v>102835</v>
      </c>
      <c r="T43" s="11">
        <f t="shared" si="2"/>
        <v>-102835</v>
      </c>
    </row>
    <row r="44" spans="15:20" x14ac:dyDescent="0.35">
      <c r="O44" t="s">
        <v>42</v>
      </c>
      <c r="P44" s="1">
        <f>SUMIFS(Data!E:E,Data!B:B,'Data Prep'!$B$3,Data!A:A,'Data Prep'!$B$15,Data!C:C,'Data Prep'!O44)</f>
        <v>37222</v>
      </c>
      <c r="Q44" vm="42">
        <v>3161105</v>
      </c>
      <c r="R44" s="10">
        <f t="shared" si="1"/>
        <v>11.774996401574766</v>
      </c>
      <c r="S44" s="2">
        <f>AVERAGEIFS(Data!F:F,Data!B:B,'Data Prep'!$B$3,Data!A:A,'Data Prep'!$B$15,Data!C:C,'Data Prep'!O44)</f>
        <v>96974</v>
      </c>
      <c r="T44" s="11">
        <f t="shared" si="2"/>
        <v>-96974</v>
      </c>
    </row>
    <row r="45" spans="15:20" x14ac:dyDescent="0.35">
      <c r="O45" t="s">
        <v>43</v>
      </c>
      <c r="P45" s="1">
        <f>SUMIFS(Data!E:E,Data!B:B,'Data Prep'!$B$3,Data!A:A,'Data Prep'!$B$15,Data!C:C,'Data Prep'!O45)</f>
        <v>3961</v>
      </c>
      <c r="Q45" vm="43">
        <v>626299</v>
      </c>
      <c r="R45" s="10">
        <f t="shared" si="1"/>
        <v>6.32445525220382</v>
      </c>
      <c r="S45" s="2">
        <f>AVERAGEIFS(Data!F:F,Data!B:B,'Data Prep'!$B$3,Data!A:A,'Data Prep'!$B$15,Data!C:C,'Data Prep'!O45)</f>
        <v>68605</v>
      </c>
      <c r="T45" s="11">
        <f t="shared" si="2"/>
        <v>-68605</v>
      </c>
    </row>
    <row r="46" spans="15:20" x14ac:dyDescent="0.35">
      <c r="O46" t="s">
        <v>44</v>
      </c>
      <c r="P46" s="1">
        <f>SUMIFS(Data!E:E,Data!B:B,'Data Prep'!$B$3,Data!A:A,'Data Prep'!$B$15,Data!C:C,'Data Prep'!O46)</f>
        <v>64840</v>
      </c>
      <c r="Q46" vm="44">
        <v>8517685</v>
      </c>
      <c r="R46" s="10">
        <f t="shared" si="1"/>
        <v>7.6123970304137796</v>
      </c>
      <c r="S46" s="2">
        <f>AVERAGEIFS(Data!F:F,Data!B:B,'Data Prep'!$B$3,Data!A:A,'Data Prep'!$B$15,Data!C:C,'Data Prep'!O46)</f>
        <v>117848</v>
      </c>
      <c r="T46" s="11">
        <f t="shared" si="2"/>
        <v>-117848</v>
      </c>
    </row>
    <row r="47" spans="15:20" x14ac:dyDescent="0.35">
      <c r="O47" t="s">
        <v>45</v>
      </c>
      <c r="P47" s="1">
        <f>SUMIFS(Data!E:E,Data!B:B,'Data Prep'!$B$3,Data!A:A,'Data Prep'!$B$15,Data!C:C,'Data Prep'!O47)</f>
        <v>148556</v>
      </c>
      <c r="Q47" vm="45">
        <v>7614893</v>
      </c>
      <c r="R47" s="10">
        <f t="shared" si="1"/>
        <v>19.508612924699005</v>
      </c>
      <c r="S47" s="2">
        <f>AVERAGEIFS(Data!F:F,Data!B:B,'Data Prep'!$B$3,Data!A:A,'Data Prep'!$B$15,Data!C:C,'Data Prep'!O47)</f>
        <v>242273</v>
      </c>
      <c r="T47" s="11">
        <f t="shared" si="2"/>
        <v>-242273</v>
      </c>
    </row>
    <row r="48" spans="15:20" x14ac:dyDescent="0.35">
      <c r="O48" t="s">
        <v>46</v>
      </c>
      <c r="P48" s="1">
        <f>SUMIFS(Data!E:E,Data!B:B,'Data Prep'!$B$3,Data!A:A,'Data Prep'!$B$15,Data!C:C,'Data Prep'!O48)</f>
        <v>7215</v>
      </c>
      <c r="Q48" vm="46">
        <v>1805832</v>
      </c>
      <c r="R48" s="10">
        <f t="shared" si="1"/>
        <v>3.9953882753212926</v>
      </c>
      <c r="S48" s="2">
        <f>AVERAGEIFS(Data!F:F,Data!B:B,'Data Prep'!$B$3,Data!A:A,'Data Prep'!$B$15,Data!C:C,'Data Prep'!O48)</f>
        <v>58063</v>
      </c>
      <c r="T48" s="11">
        <f t="shared" si="2"/>
        <v>-58063</v>
      </c>
    </row>
    <row r="49" spans="15:20" x14ac:dyDescent="0.35">
      <c r="O49" t="s">
        <v>47</v>
      </c>
      <c r="P49" s="1">
        <f>SUMIFS(Data!E:E,Data!B:B,'Data Prep'!$B$3,Data!A:A,'Data Prep'!$B$15,Data!C:C,'Data Prep'!O49)</f>
        <v>44846</v>
      </c>
      <c r="Q49" vm="47">
        <v>5813568</v>
      </c>
      <c r="R49" s="10">
        <f t="shared" si="1"/>
        <v>7.7140234706121955</v>
      </c>
      <c r="S49" s="2">
        <f>AVERAGEIFS(Data!F:F,Data!B:B,'Data Prep'!$B$3,Data!A:A,'Data Prep'!$B$15,Data!C:C,'Data Prep'!O49)</f>
        <v>88336</v>
      </c>
      <c r="T49" s="11">
        <f t="shared" si="2"/>
        <v>-88336</v>
      </c>
    </row>
    <row r="50" spans="15:20" x14ac:dyDescent="0.35">
      <c r="O50" t="s">
        <v>48</v>
      </c>
      <c r="P50" s="1">
        <f>SUMIFS(Data!E:E,Data!B:B,'Data Prep'!$B$3,Data!A:A,'Data Prep'!$B$15,Data!C:C,'Data Prep'!O50)</f>
        <v>3000</v>
      </c>
      <c r="Q50" vm="48">
        <v>577737</v>
      </c>
      <c r="R50" s="10">
        <f t="shared" si="1"/>
        <v>5.1926741752735248</v>
      </c>
      <c r="S50" s="2">
        <f>AVERAGEIFS(Data!F:F,Data!B:B,'Data Prep'!$B$3,Data!A:A,'Data Prep'!$B$15,Data!C:C,'Data Prep'!O50)</f>
        <v>54299</v>
      </c>
      <c r="T50" s="11">
        <f t="shared" si="2"/>
        <v>-54299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C21-9A78-4BA7-8A8B-6FC7EEC60075}">
  <dimension ref="A1:R37"/>
  <sheetViews>
    <sheetView showGridLines="0" tabSelected="1" topLeftCell="A15" zoomScale="54" workbookViewId="0"/>
  </sheetViews>
  <sheetFormatPr defaultColWidth="0" defaultRowHeight="14.5" zeroHeight="1" x14ac:dyDescent="0.35"/>
  <cols>
    <col min="1" max="1" width="6.54296875" customWidth="1"/>
    <col min="2" max="2" width="49.54296875" customWidth="1"/>
    <col min="3" max="8" width="9.1796875" customWidth="1"/>
    <col min="9" max="9" width="3.7265625" customWidth="1"/>
    <col min="10" max="10" width="2.54296875" customWidth="1"/>
    <col min="11" max="11" width="8.26953125" customWidth="1"/>
    <col min="12" max="13" width="9.1796875" customWidth="1"/>
    <col min="14" max="14" width="36.81640625" bestFit="1" customWidth="1"/>
    <col min="15" max="17" width="9.1796875" customWidth="1"/>
    <col min="18" max="18" width="3.1796875" customWidth="1"/>
    <col min="19" max="16384" width="9.1796875" hidden="1"/>
  </cols>
  <sheetData>
    <row r="1" spans="1:2" x14ac:dyDescent="0.35">
      <c r="A1" s="14">
        <v>10</v>
      </c>
    </row>
    <row r="2" spans="1:2" x14ac:dyDescent="0.35">
      <c r="A2" s="14">
        <v>1</v>
      </c>
    </row>
    <row r="3" spans="1:2" x14ac:dyDescent="0.35"/>
    <row r="4" spans="1:2" x14ac:dyDescent="0.35"/>
    <row r="5" spans="1:2" x14ac:dyDescent="0.35"/>
    <row r="6" spans="1:2" ht="31" x14ac:dyDescent="0.7">
      <c r="B6" s="12" t="str" cm="1">
        <f t="array" ref="B6">INDEX('Data Prep'!D3:D12,11-Dashboard!A1)</f>
        <v>Information</v>
      </c>
    </row>
    <row r="7" spans="1:2" x14ac:dyDescent="0.35"/>
    <row r="8" spans="1:2" x14ac:dyDescent="0.35"/>
    <row r="9" spans="1:2" x14ac:dyDescent="0.35"/>
    <row r="10" spans="1:2" x14ac:dyDescent="0.35"/>
    <row r="11" spans="1:2" x14ac:dyDescent="0.35"/>
    <row r="12" spans="1:2" x14ac:dyDescent="0.35"/>
    <row r="13" spans="1:2" x14ac:dyDescent="0.35"/>
    <row r="14" spans="1:2" x14ac:dyDescent="0.35"/>
    <row r="15" spans="1:2" x14ac:dyDescent="0.35"/>
    <row r="16" spans="1:2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</sheetData>
  <sheetProtection selectLockedCells="1" selectUnlockedCell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2</xdr:col>
                    <xdr:colOff>508000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11</xdr:col>
                    <xdr:colOff>495300</xdr:colOff>
                    <xdr:row>9</xdr:row>
                    <xdr:rowOff>50800</xdr:rowOff>
                  </from>
                  <to>
                    <xdr:col>13</xdr:col>
                    <xdr:colOff>1447800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13</xdr:col>
                    <xdr:colOff>1485900</xdr:colOff>
                    <xdr:row>9</xdr:row>
                    <xdr:rowOff>0</xdr:rowOff>
                  </from>
                  <to>
                    <xdr:col>14</xdr:col>
                    <xdr:colOff>533400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Tue Nguyen</cp:lastModifiedBy>
  <dcterms:created xsi:type="dcterms:W3CDTF">2021-09-21T20:47:02Z</dcterms:created>
  <dcterms:modified xsi:type="dcterms:W3CDTF">2026-01-19T06:08:56Z</dcterms:modified>
</cp:coreProperties>
</file>